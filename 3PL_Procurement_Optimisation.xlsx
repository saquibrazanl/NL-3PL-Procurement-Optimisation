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📊 Raw Data" sheetId="2" state="visible" r:id="rId2"/>
    <sheet xmlns:r="http://schemas.openxmlformats.org/officeDocument/2006/relationships" name="⚖️ Scorecard" sheetId="3" state="visible" r:id="rId3"/>
    <sheet xmlns:r="http://schemas.openxmlformats.org/officeDocument/2006/relationships" name="🔧 Sensitivity" sheetId="4" state="visible" r:id="rId4"/>
    <sheet xmlns:r="http://schemas.openxmlformats.org/officeDocument/2006/relationships" name="💰 Saving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0\%"/>
    <numFmt numFmtId="165" formatCode="0.0"/>
    <numFmt numFmtId="166" formatCode="\€#,##0.0000"/>
    <numFmt numFmtId="167" formatCode="0\%"/>
    <numFmt numFmtId="168" formatCode="\€0.0000"/>
    <numFmt numFmtId="169" formatCode="\€#,##0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C9A84C"/>
      <sz val="14"/>
    </font>
    <font>
      <name val="Arial"/>
      <charset val="1"/>
      <family val="0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C9A84C"/>
      <sz val="13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1E7B34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i val="1"/>
      <color rgb="FFC9A84C"/>
      <sz val="11"/>
    </font>
    <font>
      <name val="Arial"/>
      <charset val="1"/>
      <family val="0"/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0D2240"/>
        <bgColor rgb="FF1B3A6B"/>
      </patternFill>
    </fill>
    <fill>
      <patternFill patternType="solid">
        <fgColor rgb="FF1B3A6B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FFACD"/>
        <bgColor rgb="FFF2F2F2"/>
      </patternFill>
    </fill>
  </fills>
  <borders count="4">
    <border>
      <left/>
      <right/>
      <top/>
      <bottom/>
      <diagonal/>
    </border>
    <border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C9A84C"/>
      </left>
      <right style="medium">
        <color rgb="FFC9A84C"/>
      </right>
      <top style="medium">
        <color rgb="FFC9A84C"/>
      </top>
      <bottom style="medium">
        <color rgb="FFC9A84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 wrapText="1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 wrapText="1"/>
    </xf>
    <xf numFmtId="0" fontId="8" fillId="5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 wrapText="1"/>
    </xf>
    <xf numFmtId="0" fontId="9" fillId="4" borderId="1" applyAlignment="1" pivotButton="0" quotePrefix="0" xfId="0">
      <alignment horizontal="general" vertical="bottom" wrapText="1"/>
    </xf>
    <xf numFmtId="0" fontId="8" fillId="6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bottom"/>
    </xf>
    <xf numFmtId="0" fontId="9" fillId="5" borderId="2" applyAlignment="1" pivotButton="0" quotePrefix="0" xfId="0">
      <alignment horizontal="center" vertical="bottom"/>
    </xf>
    <xf numFmtId="164" fontId="8" fillId="5" borderId="2" applyAlignment="1" pivotButton="0" quotePrefix="0" xfId="0">
      <alignment horizontal="center" vertical="bottom"/>
    </xf>
    <xf numFmtId="165" fontId="9" fillId="5" borderId="2" applyAlignment="1" pivotButton="0" quotePrefix="0" xfId="0">
      <alignment horizontal="center" vertical="bottom"/>
    </xf>
    <xf numFmtId="166" fontId="9" fillId="5" borderId="2" applyAlignment="1" pivotButton="0" quotePrefix="0" xfId="0">
      <alignment horizontal="center" vertical="bottom"/>
    </xf>
    <xf numFmtId="0" fontId="8" fillId="7" borderId="2" applyAlignment="1" pivotButton="0" quotePrefix="0" xfId="0">
      <alignment horizontal="center" vertical="bottom"/>
    </xf>
    <xf numFmtId="0" fontId="9" fillId="7" borderId="2" applyAlignment="1" pivotButton="0" quotePrefix="0" xfId="0">
      <alignment horizontal="center" vertical="bottom"/>
    </xf>
    <xf numFmtId="164" fontId="8" fillId="7" borderId="2" applyAlignment="1" pivotButton="0" quotePrefix="0" xfId="0">
      <alignment horizontal="center" vertical="bottom"/>
    </xf>
    <xf numFmtId="165" fontId="9" fillId="7" borderId="2" applyAlignment="1" pivotButton="0" quotePrefix="0" xfId="0">
      <alignment horizontal="center" vertical="bottom"/>
    </xf>
    <xf numFmtId="166" fontId="9" fillId="7" borderId="2" applyAlignment="1" pivotButton="0" quotePrefix="0" xfId="0">
      <alignment horizontal="center" vertical="bottom"/>
    </xf>
    <xf numFmtId="0" fontId="10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9" fillId="8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167" fontId="13" fillId="0" borderId="0" applyAlignment="1" pivotButton="0" quotePrefix="0" xfId="0">
      <alignment horizontal="general" vertical="bottom"/>
    </xf>
    <xf numFmtId="0" fontId="11" fillId="5" borderId="2" applyAlignment="1" pivotButton="0" quotePrefix="0" xfId="0">
      <alignment horizontal="center" vertical="bottom"/>
    </xf>
    <xf numFmtId="168" fontId="9" fillId="5" borderId="2" applyAlignment="1" pivotButton="0" quotePrefix="0" xfId="0">
      <alignment horizontal="center" vertical="bottom"/>
    </xf>
    <xf numFmtId="164" fontId="9" fillId="5" borderId="2" applyAlignment="1" pivotButton="0" quotePrefix="0" xfId="0">
      <alignment horizontal="center" vertical="bottom"/>
    </xf>
    <xf numFmtId="2" fontId="9" fillId="5" borderId="2" applyAlignment="1" pivotButton="0" quotePrefix="0" xfId="0">
      <alignment horizontal="center" vertical="bottom"/>
    </xf>
    <xf numFmtId="0" fontId="0" fillId="5" borderId="2" applyAlignment="1" pivotButton="0" quotePrefix="0" xfId="0">
      <alignment horizontal="center" vertical="bottom"/>
    </xf>
    <xf numFmtId="0" fontId="11" fillId="7" borderId="2" applyAlignment="1" pivotButton="0" quotePrefix="0" xfId="0">
      <alignment horizontal="center" vertical="bottom"/>
    </xf>
    <xf numFmtId="168" fontId="9" fillId="7" borderId="2" applyAlignment="1" pivotButton="0" quotePrefix="0" xfId="0">
      <alignment horizontal="center" vertical="bottom"/>
    </xf>
    <xf numFmtId="164" fontId="9" fillId="7" borderId="2" applyAlignment="1" pivotButton="0" quotePrefix="0" xfId="0">
      <alignment horizontal="center" vertical="bottom"/>
    </xf>
    <xf numFmtId="2" fontId="9" fillId="7" borderId="2" applyAlignment="1" pivotButton="0" quotePrefix="0" xfId="0">
      <alignment horizontal="center" vertical="bottom"/>
    </xf>
    <xf numFmtId="0" fontId="0" fillId="7" borderId="2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169" fontId="11" fillId="5" borderId="2" applyAlignment="1" pivotButton="0" quotePrefix="0" xfId="0">
      <alignment horizontal="center" vertical="bottom"/>
    </xf>
    <xf numFmtId="169" fontId="11" fillId="7" borderId="2" applyAlignment="1" pivotButton="0" quotePrefix="0" xfId="0">
      <alignment horizontal="center" vertical="bottom"/>
    </xf>
    <xf numFmtId="168" fontId="8" fillId="5" borderId="2" applyAlignment="1" pivotButton="0" quotePrefix="0" xfId="0">
      <alignment horizontal="center" vertical="bottom"/>
    </xf>
    <xf numFmtId="169" fontId="8" fillId="5" borderId="2" applyAlignment="1" pivotButton="0" quotePrefix="0" xfId="0">
      <alignment horizontal="center" vertical="bottom"/>
    </xf>
    <xf numFmtId="168" fontId="8" fillId="7" borderId="2" applyAlignment="1" pivotButton="0" quotePrefix="0" xfId="0">
      <alignment horizontal="center" vertical="bottom"/>
    </xf>
    <xf numFmtId="169" fontId="8" fillId="7" borderId="2" applyAlignment="1" pivotButton="0" quotePrefix="0" xfId="0">
      <alignment horizontal="center" vertical="bottom"/>
    </xf>
    <xf numFmtId="3" fontId="8" fillId="5" borderId="2" applyAlignment="1" pivotButton="0" quotePrefix="0" xfId="0">
      <alignment horizontal="center" vertical="bottom"/>
    </xf>
    <xf numFmtId="3" fontId="8" fillId="7" borderId="2" applyAlignment="1" pivotButton="0" quotePrefix="0" xfId="0">
      <alignment horizontal="center" vertical="bottom"/>
    </xf>
    <xf numFmtId="0" fontId="15" fillId="3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3" fontId="9" fillId="8" borderId="1" applyAlignment="1" pivotButton="0" quotePrefix="0" xfId="0">
      <alignment horizontal="center" vertical="bottom"/>
    </xf>
    <xf numFmtId="0" fontId="13" fillId="5" borderId="2" applyAlignment="1" pivotButton="0" quotePrefix="0" xfId="0">
      <alignment horizontal="center" vertical="bottom"/>
    </xf>
    <xf numFmtId="168" fontId="0" fillId="5" borderId="2" applyAlignment="1" pivotButton="0" quotePrefix="0" xfId="0">
      <alignment horizontal="center" vertical="bottom"/>
    </xf>
    <xf numFmtId="3" fontId="0" fillId="5" borderId="2" applyAlignment="1" pivotButton="0" quotePrefix="0" xfId="0">
      <alignment horizontal="center" vertical="bottom"/>
    </xf>
    <xf numFmtId="169" fontId="13" fillId="5" borderId="2" applyAlignment="1" pivotButton="0" quotePrefix="0" xfId="0">
      <alignment horizontal="center" vertical="bottom"/>
    </xf>
    <xf numFmtId="0" fontId="13" fillId="7" borderId="2" applyAlignment="1" pivotButton="0" quotePrefix="0" xfId="0">
      <alignment horizontal="center" vertical="bottom"/>
    </xf>
    <xf numFmtId="168" fontId="0" fillId="7" borderId="2" applyAlignment="1" pivotButton="0" quotePrefix="0" xfId="0">
      <alignment horizontal="center" vertical="bottom"/>
    </xf>
    <xf numFmtId="3" fontId="0" fillId="7" borderId="2" applyAlignment="1" pivotButton="0" quotePrefix="0" xfId="0">
      <alignment horizontal="center" vertical="bottom"/>
    </xf>
    <xf numFmtId="169" fontId="13" fillId="7" borderId="2" applyAlignment="1" pivotButton="0" quotePrefix="0" xfId="0">
      <alignment horizontal="center" vertical="bottom"/>
    </xf>
    <xf numFmtId="0" fontId="16" fillId="3" borderId="0" applyAlignment="1" pivotButton="0" quotePrefix="0" xfId="0">
      <alignment horizontal="right" vertical="bottom"/>
    </xf>
    <xf numFmtId="169" fontId="10" fillId="2" borderId="3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 wrapText="1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 wrapText="1"/>
    </xf>
    <xf numFmtId="0" fontId="8" fillId="5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 wrapText="1"/>
    </xf>
    <xf numFmtId="0" fontId="9" fillId="4" borderId="1" applyAlignment="1" pivotButton="0" quotePrefix="0" xfId="0">
      <alignment horizontal="general" vertical="bottom" wrapText="1"/>
    </xf>
    <xf numFmtId="0" fontId="8" fillId="6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bottom"/>
    </xf>
    <xf numFmtId="0" fontId="9" fillId="5" borderId="2" applyAlignment="1" pivotButton="0" quotePrefix="0" xfId="0">
      <alignment horizontal="center" vertical="bottom"/>
    </xf>
    <xf numFmtId="164" fontId="8" fillId="5" borderId="2" applyAlignment="1" pivotButton="0" quotePrefix="0" xfId="0">
      <alignment horizontal="center" vertical="bottom"/>
    </xf>
    <xf numFmtId="165" fontId="9" fillId="5" borderId="2" applyAlignment="1" pivotButton="0" quotePrefix="0" xfId="0">
      <alignment horizontal="center" vertical="bottom"/>
    </xf>
    <xf numFmtId="166" fontId="9" fillId="5" borderId="2" applyAlignment="1" pivotButton="0" quotePrefix="0" xfId="0">
      <alignment horizontal="center" vertical="bottom"/>
    </xf>
    <xf numFmtId="0" fontId="8" fillId="7" borderId="2" applyAlignment="1" pivotButton="0" quotePrefix="0" xfId="0">
      <alignment horizontal="center" vertical="bottom"/>
    </xf>
    <xf numFmtId="0" fontId="9" fillId="7" borderId="2" applyAlignment="1" pivotButton="0" quotePrefix="0" xfId="0">
      <alignment horizontal="center" vertical="bottom"/>
    </xf>
    <xf numFmtId="164" fontId="8" fillId="7" borderId="2" applyAlignment="1" pivotButton="0" quotePrefix="0" xfId="0">
      <alignment horizontal="center" vertical="bottom"/>
    </xf>
    <xf numFmtId="165" fontId="9" fillId="7" borderId="2" applyAlignment="1" pivotButton="0" quotePrefix="0" xfId="0">
      <alignment horizontal="center" vertical="bottom"/>
    </xf>
    <xf numFmtId="166" fontId="9" fillId="7" borderId="2" applyAlignment="1" pivotButton="0" quotePrefix="0" xfId="0">
      <alignment horizontal="center" vertical="bottom"/>
    </xf>
    <xf numFmtId="0" fontId="10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9" fillId="8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167" fontId="13" fillId="0" borderId="0" applyAlignment="1" pivotButton="0" quotePrefix="0" xfId="0">
      <alignment horizontal="general" vertical="bottom"/>
    </xf>
    <xf numFmtId="0" fontId="11" fillId="5" borderId="2" applyAlignment="1" pivotButton="0" quotePrefix="0" xfId="0">
      <alignment horizontal="center" vertical="bottom"/>
    </xf>
    <xf numFmtId="168" fontId="9" fillId="5" borderId="2" applyAlignment="1" pivotButton="0" quotePrefix="0" xfId="0">
      <alignment horizontal="center" vertical="bottom"/>
    </xf>
    <xf numFmtId="164" fontId="9" fillId="5" borderId="2" applyAlignment="1" pivotButton="0" quotePrefix="0" xfId="0">
      <alignment horizontal="center" vertical="bottom"/>
    </xf>
    <xf numFmtId="2" fontId="9" fillId="5" borderId="2" applyAlignment="1" pivotButton="0" quotePrefix="0" xfId="0">
      <alignment horizontal="center" vertical="bottom"/>
    </xf>
    <xf numFmtId="0" fontId="0" fillId="5" borderId="2" applyAlignment="1" pivotButton="0" quotePrefix="0" xfId="0">
      <alignment horizontal="center" vertical="bottom"/>
    </xf>
    <xf numFmtId="0" fontId="11" fillId="7" borderId="2" applyAlignment="1" pivotButton="0" quotePrefix="0" xfId="0">
      <alignment horizontal="center" vertical="bottom"/>
    </xf>
    <xf numFmtId="168" fontId="9" fillId="7" borderId="2" applyAlignment="1" pivotButton="0" quotePrefix="0" xfId="0">
      <alignment horizontal="center" vertical="bottom"/>
    </xf>
    <xf numFmtId="164" fontId="9" fillId="7" borderId="2" applyAlignment="1" pivotButton="0" quotePrefix="0" xfId="0">
      <alignment horizontal="center" vertical="bottom"/>
    </xf>
    <xf numFmtId="2" fontId="9" fillId="7" borderId="2" applyAlignment="1" pivotButton="0" quotePrefix="0" xfId="0">
      <alignment horizontal="center" vertical="bottom"/>
    </xf>
    <xf numFmtId="0" fontId="0" fillId="7" borderId="2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169" fontId="11" fillId="5" borderId="2" applyAlignment="1" pivotButton="0" quotePrefix="0" xfId="0">
      <alignment horizontal="center" vertical="bottom"/>
    </xf>
    <xf numFmtId="169" fontId="11" fillId="7" borderId="2" applyAlignment="1" pivotButton="0" quotePrefix="0" xfId="0">
      <alignment horizontal="center" vertical="bottom"/>
    </xf>
    <xf numFmtId="168" fontId="8" fillId="5" borderId="2" applyAlignment="1" pivotButton="0" quotePrefix="0" xfId="0">
      <alignment horizontal="center" vertical="bottom"/>
    </xf>
    <xf numFmtId="169" fontId="8" fillId="5" borderId="2" applyAlignment="1" pivotButton="0" quotePrefix="0" xfId="0">
      <alignment horizontal="center" vertical="bottom"/>
    </xf>
    <xf numFmtId="168" fontId="8" fillId="7" borderId="2" applyAlignment="1" pivotButton="0" quotePrefix="0" xfId="0">
      <alignment horizontal="center" vertical="bottom"/>
    </xf>
    <xf numFmtId="169" fontId="8" fillId="7" borderId="2" applyAlignment="1" pivotButton="0" quotePrefix="0" xfId="0">
      <alignment horizontal="center" vertical="bottom"/>
    </xf>
    <xf numFmtId="3" fontId="8" fillId="5" borderId="2" applyAlignment="1" pivotButton="0" quotePrefix="0" xfId="0">
      <alignment horizontal="center" vertical="bottom"/>
    </xf>
    <xf numFmtId="3" fontId="8" fillId="7" borderId="2" applyAlignment="1" pivotButton="0" quotePrefix="0" xfId="0">
      <alignment horizontal="center" vertical="bottom"/>
    </xf>
    <xf numFmtId="0" fontId="15" fillId="3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3" fontId="9" fillId="8" borderId="1" applyAlignment="1" pivotButton="0" quotePrefix="0" xfId="0">
      <alignment horizontal="center" vertical="bottom"/>
    </xf>
    <xf numFmtId="0" fontId="13" fillId="5" borderId="2" applyAlignment="1" pivotButton="0" quotePrefix="0" xfId="0">
      <alignment horizontal="center" vertical="bottom"/>
    </xf>
    <xf numFmtId="168" fontId="0" fillId="5" borderId="2" applyAlignment="1" pivotButton="0" quotePrefix="0" xfId="0">
      <alignment horizontal="center" vertical="bottom"/>
    </xf>
    <xf numFmtId="3" fontId="0" fillId="5" borderId="2" applyAlignment="1" pivotButton="0" quotePrefix="0" xfId="0">
      <alignment horizontal="center" vertical="bottom"/>
    </xf>
    <xf numFmtId="169" fontId="13" fillId="5" borderId="2" applyAlignment="1" pivotButton="0" quotePrefix="0" xfId="0">
      <alignment horizontal="center" vertical="bottom"/>
    </xf>
    <xf numFmtId="0" fontId="13" fillId="7" borderId="2" applyAlignment="1" pivotButton="0" quotePrefix="0" xfId="0">
      <alignment horizontal="center" vertical="bottom"/>
    </xf>
    <xf numFmtId="168" fontId="0" fillId="7" borderId="2" applyAlignment="1" pivotButton="0" quotePrefix="0" xfId="0">
      <alignment horizontal="center" vertical="bottom"/>
    </xf>
    <xf numFmtId="3" fontId="0" fillId="7" borderId="2" applyAlignment="1" pivotButton="0" quotePrefix="0" xfId="0">
      <alignment horizontal="center" vertical="bottom"/>
    </xf>
    <xf numFmtId="169" fontId="13" fillId="7" borderId="2" applyAlignment="1" pivotButton="0" quotePrefix="0" xfId="0">
      <alignment horizontal="center" vertical="bottom"/>
    </xf>
    <xf numFmtId="0" fontId="16" fillId="3" borderId="0" applyAlignment="1" pivotButton="0" quotePrefix="0" xfId="0">
      <alignment horizontal="right" vertical="bottom"/>
    </xf>
    <xf numFmtId="169" fontId="10" fillId="2" borderId="3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2E86AB"/>
      <rgbColor rgb="FFC0C0C0"/>
      <rgbColor rgb="FF888888"/>
      <rgbColor rgb="FF9999FF"/>
      <rgbColor rgb="FF993366"/>
      <rgbColor rgb="FFFFFACD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84C"/>
      <rgbColor rgb="FFE67E22"/>
      <rgbColor rgb="FF666666"/>
      <rgbColor rgb="FFAAAAAA"/>
      <rgbColor rgb="FF1B3A6B"/>
      <rgbColor rgb="FF27AE60"/>
      <rgbColor rgb="FF003300"/>
      <rgbColor rgb="FF333300"/>
      <rgbColor rgb="FF993300"/>
      <rgbColor rgb="FF993366"/>
      <rgbColor rgb="FF333399"/>
      <rgbColor rgb="FF0D22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9A84C"/>
    <outlinePr summaryBelow="1" summaryRight="1"/>
    <pageSetUpPr fitToPage="0"/>
  </sheetPr>
  <dimension ref="B2:C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61" min="1" max="1"/>
    <col width="40" customWidth="1" style="61" min="2" max="2"/>
    <col width="45" customWidth="1" style="61" min="3" max="3"/>
  </cols>
  <sheetData>
    <row r="1" ht="9.75" customHeight="1" s="62"/>
    <row r="2" ht="30" customHeight="1" s="62">
      <c r="B2" s="63" t="inlineStr">
        <is>
          <t>NETHERLANDS 3PL PROCUREMENT OPTIMISATION MODEL</t>
        </is>
      </c>
    </row>
    <row r="3" ht="21.75" customHeight="1" s="62">
      <c r="B3" s="64" t="inlineStr">
        <is>
          <t>Saquib Raza  |  Supply Chain Analytics Portfolio  |  2024</t>
        </is>
      </c>
    </row>
    <row r="5" ht="18" customHeight="1" s="62">
      <c r="B5" s="65" t="inlineStr">
        <is>
          <t>PROJECT SUMMARY</t>
        </is>
      </c>
      <c r="C5" s="66" t="n"/>
    </row>
    <row r="6" ht="18" customHeight="1" s="62">
      <c r="B6" s="67" t="inlineStr">
        <is>
          <t>Objective</t>
        </is>
      </c>
      <c r="C6" s="68" t="inlineStr">
        <is>
          <t>Identify the lowest total-cost 3PL provider across three key NL→EU corridors</t>
        </is>
      </c>
    </row>
    <row r="7" ht="18" customHeight="1" s="62">
      <c r="B7" s="67" t="inlineStr">
        <is>
          <t>Providers</t>
        </is>
      </c>
      <c r="C7" s="68" t="inlineStr">
        <is>
          <t>DHL Freight | DB Schenker | Kuehne+Nagel</t>
        </is>
      </c>
    </row>
    <row r="8" ht="18" customHeight="1" s="62">
      <c r="B8" s="67" t="inlineStr">
        <is>
          <t>Routes</t>
        </is>
      </c>
      <c r="C8" s="68" t="inlineStr">
        <is>
          <t>AMS→Frankfurt | Rotterdam→Paris | Eindhoven→Warsaw</t>
        </is>
      </c>
    </row>
    <row r="9" ht="18" customHeight="1" s="62">
      <c r="B9" s="67" t="inlineStr">
        <is>
          <t>Annual Volume</t>
        </is>
      </c>
      <c r="C9" s="68" t="inlineStr">
        <is>
          <t>2,400 MT simulated  |  €1.8M freight spend</t>
        </is>
      </c>
    </row>
    <row r="10" ht="18" customHeight="1" s="62">
      <c r="B10" s="67" t="inlineStr">
        <is>
          <t>Tools Used</t>
        </is>
      </c>
      <c r="C10" s="68" t="inlineStr">
        <is>
          <t>SQL (PostgreSQL)  |  Excel (this file)  |  Power BI</t>
        </is>
      </c>
    </row>
    <row r="11" ht="18" customHeight="1" s="62">
      <c r="B11" s="69" t="inlineStr">
        <is>
          <t>Key Finding</t>
        </is>
      </c>
      <c r="C11" s="70" t="inlineStr">
        <is>
          <t>Switching to DB Schenker on Warsaw lane saves ~€61K annually</t>
        </is>
      </c>
    </row>
    <row r="13" ht="18" customHeight="1" s="62">
      <c r="B13" s="65" t="inlineStr">
        <is>
          <t>SHEET GUIDE</t>
        </is>
      </c>
      <c r="C13" s="66" t="n"/>
    </row>
    <row r="14" ht="18" customHeight="1" s="62">
      <c r="B14" s="67" t="inlineStr">
        <is>
          <t>📊 Raw Data</t>
        </is>
      </c>
      <c r="C14" s="68" t="inlineStr">
        <is>
          <t>Underlying provider/route/shipment data — import from SQL</t>
        </is>
      </c>
    </row>
    <row r="15" ht="18" customHeight="1" s="62">
      <c r="B15" s="67" t="inlineStr">
        <is>
          <t>⚖️ Scorecard</t>
        </is>
      </c>
      <c r="C15" s="68" t="inlineStr">
        <is>
          <t>Weighted scoring model (Cost 40% | Reliability 35% | Lead Time 25%)</t>
        </is>
      </c>
    </row>
    <row r="16" ht="18" customHeight="1" s="62">
      <c r="B16" s="67" t="inlineStr">
        <is>
          <t>🔧 Sensitivity</t>
        </is>
      </c>
      <c r="C16" s="68" t="inlineStr">
        <is>
          <t>What-if: fuel surcharge +20%, volume changes, weight shifts</t>
        </is>
      </c>
    </row>
    <row r="17" ht="18" customHeight="1" s="62">
      <c r="B17" s="67" t="inlineStr">
        <is>
          <t>💰 Savings</t>
        </is>
      </c>
      <c r="C17" s="68" t="inlineStr">
        <is>
          <t>Annual savings calculation — the €112,920 headline number</t>
        </is>
      </c>
    </row>
    <row r="19" ht="18" customHeight="1" s="62">
      <c r="B19" s="65" t="inlineStr">
        <is>
          <t>COLOUR CODING</t>
        </is>
      </c>
      <c r="C19" s="66" t="n"/>
    </row>
    <row r="20" ht="18" customHeight="1" s="62">
      <c r="B20" s="67" t="inlineStr">
        <is>
          <t>Blue text</t>
        </is>
      </c>
      <c r="C20" s="71" t="inlineStr">
        <is>
          <t>Hardcoded input assumptions — user can change these</t>
        </is>
      </c>
    </row>
    <row r="21" ht="18" customHeight="1" s="62">
      <c r="B21" s="67" t="inlineStr">
        <is>
          <t>Black text</t>
        </is>
      </c>
      <c r="C21" s="68" t="inlineStr">
        <is>
          <t>Formula cells — do not overwrite</t>
        </is>
      </c>
    </row>
    <row r="22" ht="18" customHeight="1" s="62">
      <c r="B22" s="72" t="inlineStr">
        <is>
          <t>Yellow bg</t>
        </is>
      </c>
      <c r="C22" s="73" t="inlineStr">
        <is>
          <t>Key assumptions requiring attention</t>
        </is>
      </c>
    </row>
  </sheetData>
  <mergeCells count="2">
    <mergeCell ref="B3:C3"/>
    <mergeCell ref="B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86AB"/>
    <outlinePr summaryBelow="1" summaryRight="1"/>
    <pageSetUpPr fitToPage="0"/>
  </sheetPr>
  <dimension ref="A1:N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61" min="1" max="1"/>
    <col width="20" customWidth="1" style="61" min="2" max="2"/>
    <col width="8" customWidth="1" style="61" min="3" max="3"/>
    <col width="10" customWidth="1" style="61" min="4" max="4"/>
    <col width="8" customWidth="1" style="61" min="5" max="6"/>
    <col width="9" customWidth="1" style="61" min="7" max="7"/>
    <col width="10" customWidth="1" style="61" min="8" max="8"/>
    <col width="14" customWidth="1" style="61" min="9" max="9"/>
    <col width="13" customWidth="1" style="61" min="10" max="10"/>
    <col width="12" customWidth="1" style="61" min="11" max="11"/>
    <col width="13" customWidth="1" style="61" min="12" max="14"/>
  </cols>
  <sheetData>
    <row r="1" ht="27.75" customHeight="1" s="62">
      <c r="A1" s="63" t="inlineStr">
        <is>
          <t>3PL PROVIDER &amp; SHIPMENT DATA  |  Jan–Jun 2024  |  Source: SQL Views / Freightos Benchmarks</t>
        </is>
      </c>
    </row>
    <row r="2" ht="23.85" customHeight="1" s="62">
      <c r="A2" s="74" t="inlineStr">
        <is>
          <t>Provider</t>
        </is>
      </c>
      <c r="B2" s="74" t="inlineStr">
        <is>
          <t>Lane</t>
        </is>
      </c>
      <c r="C2" s="74" t="inlineStr">
        <is>
          <t>Month</t>
        </is>
      </c>
      <c r="D2" s="74" t="inlineStr">
        <is>
          <t>Total Shipments</t>
        </is>
      </c>
      <c r="E2" s="74" t="inlineStr">
        <is>
          <t>On-Time</t>
        </is>
      </c>
      <c r="F2" s="74" t="inlineStr">
        <is>
          <t>Delayed</t>
        </is>
      </c>
      <c r="G2" s="74" t="inlineStr">
        <is>
          <t>On-Time %</t>
        </is>
      </c>
      <c r="H2" s="74" t="inlineStr">
        <is>
          <t>Avg Lead Days</t>
        </is>
      </c>
      <c r="I2" s="74" t="inlineStr">
        <is>
          <t>Avg Cost/kg (€)</t>
        </is>
      </c>
      <c r="J2" s="74" t="inlineStr">
        <is>
          <t>Total Spend (€)</t>
        </is>
      </c>
      <c r="K2" s="74" t="inlineStr">
        <is>
          <t>Base Rate/kg</t>
        </is>
      </c>
      <c r="L2" s="74" t="inlineStr">
        <is>
          <t>Fuel Surcharge %</t>
        </is>
      </c>
      <c r="M2" s="74" t="inlineStr">
        <is>
          <t>Vol Discount %</t>
        </is>
      </c>
      <c r="N2" s="74" t="inlineStr">
        <is>
          <t>SLA Threshold %</t>
        </is>
      </c>
    </row>
    <row r="3" ht="15" customHeight="1" s="62">
      <c r="A3" s="75" t="inlineStr">
        <is>
          <t>DHL Freight</t>
        </is>
      </c>
      <c r="B3" s="75" t="inlineStr">
        <is>
          <t>AMS→Frankfurt</t>
        </is>
      </c>
      <c r="C3" s="75" t="inlineStr">
        <is>
          <t>Jan-24</t>
        </is>
      </c>
      <c r="D3" s="76" t="n">
        <v>12</v>
      </c>
      <c r="E3" s="76" t="n">
        <v>11</v>
      </c>
      <c r="F3" s="76" t="n">
        <v>1</v>
      </c>
      <c r="G3" s="77">
        <f>IF(D3=0,0,ROUND(E3/D3*100,2))</f>
        <v/>
      </c>
      <c r="H3" s="78" t="n">
        <v>1.6</v>
      </c>
      <c r="I3" s="79" t="n">
        <v>0.322</v>
      </c>
      <c r="J3" s="79" t="n">
        <v>2840</v>
      </c>
      <c r="K3" s="79" t="n">
        <v>0.31</v>
      </c>
      <c r="L3" s="76" t="n">
        <v>18</v>
      </c>
      <c r="M3" s="76" t="n">
        <v>5</v>
      </c>
      <c r="N3" s="76" t="n">
        <v>92</v>
      </c>
    </row>
    <row r="4" ht="15" customHeight="1" s="62">
      <c r="A4" s="80" t="inlineStr">
        <is>
          <t>DHL Freight</t>
        </is>
      </c>
      <c r="B4" s="80" t="inlineStr">
        <is>
          <t>AMS→Frankfurt</t>
        </is>
      </c>
      <c r="C4" s="80" t="inlineStr">
        <is>
          <t>Feb-24</t>
        </is>
      </c>
      <c r="D4" s="81" t="n">
        <v>14</v>
      </c>
      <c r="E4" s="81" t="n">
        <v>13</v>
      </c>
      <c r="F4" s="81" t="n">
        <v>1</v>
      </c>
      <c r="G4" s="82">
        <f>IF(D4=0,0,ROUND(E4/D4*100,2))</f>
        <v/>
      </c>
      <c r="H4" s="83" t="n">
        <v>1.5</v>
      </c>
      <c r="I4" s="84" t="n">
        <v>0.315</v>
      </c>
      <c r="J4" s="84" t="n">
        <v>3420</v>
      </c>
      <c r="K4" s="84" t="n">
        <v>0.31</v>
      </c>
      <c r="L4" s="81" t="n">
        <v>18</v>
      </c>
      <c r="M4" s="81" t="n">
        <v>5</v>
      </c>
      <c r="N4" s="81" t="n">
        <v>92</v>
      </c>
    </row>
    <row r="5" ht="15" customHeight="1" s="62">
      <c r="A5" s="75" t="inlineStr">
        <is>
          <t>DHL Freight</t>
        </is>
      </c>
      <c r="B5" s="75" t="inlineStr">
        <is>
          <t>AMS→Frankfurt</t>
        </is>
      </c>
      <c r="C5" s="75" t="inlineStr">
        <is>
          <t>Mar-24</t>
        </is>
      </c>
      <c r="D5" s="76" t="n">
        <v>13</v>
      </c>
      <c r="E5" s="76" t="n">
        <v>11</v>
      </c>
      <c r="F5" s="76" t="n">
        <v>2</v>
      </c>
      <c r="G5" s="77">
        <f>IF(D5=0,0,ROUND(E5/D5*100,2))</f>
        <v/>
      </c>
      <c r="H5" s="78" t="n">
        <v>1.7</v>
      </c>
      <c r="I5" s="79" t="n">
        <v>0.328</v>
      </c>
      <c r="J5" s="79" t="n">
        <v>3180</v>
      </c>
      <c r="K5" s="79" t="n">
        <v>0.31</v>
      </c>
      <c r="L5" s="76" t="n">
        <v>18</v>
      </c>
      <c r="M5" s="76" t="n">
        <v>5</v>
      </c>
      <c r="N5" s="76" t="n">
        <v>92</v>
      </c>
    </row>
    <row r="6" ht="15" customHeight="1" s="62">
      <c r="A6" s="80" t="inlineStr">
        <is>
          <t>DHL Freight</t>
        </is>
      </c>
      <c r="B6" s="80" t="inlineStr">
        <is>
          <t>AMS→Frankfurt</t>
        </is>
      </c>
      <c r="C6" s="80" t="inlineStr">
        <is>
          <t>Apr-24</t>
        </is>
      </c>
      <c r="D6" s="81" t="n">
        <v>15</v>
      </c>
      <c r="E6" s="81" t="n">
        <v>13</v>
      </c>
      <c r="F6" s="81" t="n">
        <v>2</v>
      </c>
      <c r="G6" s="82">
        <f>IF(D6=0,0,ROUND(E6/D6*100,2))</f>
        <v/>
      </c>
      <c r="H6" s="83" t="n">
        <v>1.6</v>
      </c>
      <c r="I6" s="84" t="n">
        <v>0.319</v>
      </c>
      <c r="J6" s="84" t="n">
        <v>3650</v>
      </c>
      <c r="K6" s="84" t="n">
        <v>0.31</v>
      </c>
      <c r="L6" s="81" t="n">
        <v>18</v>
      </c>
      <c r="M6" s="81" t="n">
        <v>5</v>
      </c>
      <c r="N6" s="81" t="n">
        <v>92</v>
      </c>
    </row>
    <row r="7" ht="15" customHeight="1" s="62">
      <c r="A7" s="75" t="inlineStr">
        <is>
          <t>DHL Freight</t>
        </is>
      </c>
      <c r="B7" s="75" t="inlineStr">
        <is>
          <t>Rotterdam→Paris</t>
        </is>
      </c>
      <c r="C7" s="75" t="inlineStr">
        <is>
          <t>Jan-24</t>
        </is>
      </c>
      <c r="D7" s="76" t="n">
        <v>10</v>
      </c>
      <c r="E7" s="76" t="n">
        <v>10</v>
      </c>
      <c r="F7" s="76" t="n">
        <v>0</v>
      </c>
      <c r="G7" s="77">
        <f>IF(D7=0,0,ROUND(E7/D7*100,2))</f>
        <v/>
      </c>
      <c r="H7" s="78" t="n">
        <v>2</v>
      </c>
      <c r="I7" s="79" t="n">
        <v>0.362</v>
      </c>
      <c r="J7" s="79" t="n">
        <v>2478</v>
      </c>
      <c r="K7" s="79" t="n">
        <v>0.35</v>
      </c>
      <c r="L7" s="76" t="n">
        <v>18</v>
      </c>
      <c r="M7" s="76" t="n">
        <v>5</v>
      </c>
      <c r="N7" s="76" t="n">
        <v>92</v>
      </c>
    </row>
    <row r="8" ht="15" customHeight="1" s="62">
      <c r="A8" s="80" t="inlineStr">
        <is>
          <t>DHL Freight</t>
        </is>
      </c>
      <c r="B8" s="80" t="inlineStr">
        <is>
          <t>Rotterdam→Paris</t>
        </is>
      </c>
      <c r="C8" s="80" t="inlineStr">
        <is>
          <t>Feb-24</t>
        </is>
      </c>
      <c r="D8" s="81" t="n">
        <v>11</v>
      </c>
      <c r="E8" s="81" t="n">
        <v>11</v>
      </c>
      <c r="F8" s="81" t="n">
        <v>0</v>
      </c>
      <c r="G8" s="82">
        <f>IF(D8=0,0,ROUND(E8/D8*100,2))</f>
        <v/>
      </c>
      <c r="H8" s="83" t="n">
        <v>1.9</v>
      </c>
      <c r="I8" s="84" t="n">
        <v>0.358</v>
      </c>
      <c r="J8" s="84" t="n">
        <v>2940</v>
      </c>
      <c r="K8" s="84" t="n">
        <v>0.35</v>
      </c>
      <c r="L8" s="81" t="n">
        <v>18</v>
      </c>
      <c r="M8" s="81" t="n">
        <v>5</v>
      </c>
      <c r="N8" s="81" t="n">
        <v>92</v>
      </c>
    </row>
    <row r="9" ht="15" customHeight="1" s="62">
      <c r="A9" s="75" t="inlineStr">
        <is>
          <t>DHL Freight</t>
        </is>
      </c>
      <c r="B9" s="75" t="inlineStr">
        <is>
          <t>Rotterdam→Paris</t>
        </is>
      </c>
      <c r="C9" s="75" t="inlineStr">
        <is>
          <t>Mar-24</t>
        </is>
      </c>
      <c r="D9" s="76" t="n">
        <v>10</v>
      </c>
      <c r="E9" s="76" t="n">
        <v>9</v>
      </c>
      <c r="F9" s="76" t="n">
        <v>1</v>
      </c>
      <c r="G9" s="77">
        <f>IF(D9=0,0,ROUND(E9/D9*100,2))</f>
        <v/>
      </c>
      <c r="H9" s="78" t="n">
        <v>2.1</v>
      </c>
      <c r="I9" s="79" t="n">
        <v>0.365</v>
      </c>
      <c r="J9" s="79" t="n">
        <v>2680</v>
      </c>
      <c r="K9" s="79" t="n">
        <v>0.35</v>
      </c>
      <c r="L9" s="76" t="n">
        <v>18</v>
      </c>
      <c r="M9" s="76" t="n">
        <v>5</v>
      </c>
      <c r="N9" s="76" t="n">
        <v>92</v>
      </c>
    </row>
    <row r="10" ht="15" customHeight="1" s="62">
      <c r="A10" s="80" t="inlineStr">
        <is>
          <t>DHL Freight</t>
        </is>
      </c>
      <c r="B10" s="80" t="inlineStr">
        <is>
          <t>Rotterdam→Paris</t>
        </is>
      </c>
      <c r="C10" s="80" t="inlineStr">
        <is>
          <t>Apr-24</t>
        </is>
      </c>
      <c r="D10" s="81" t="n">
        <v>12</v>
      </c>
      <c r="E10" s="81" t="n">
        <v>12</v>
      </c>
      <c r="F10" s="81" t="n">
        <v>0</v>
      </c>
      <c r="G10" s="82">
        <f>IF(D10=0,0,ROUND(E10/D10*100,2))</f>
        <v/>
      </c>
      <c r="H10" s="83" t="n">
        <v>2</v>
      </c>
      <c r="I10" s="84" t="n">
        <v>0.359</v>
      </c>
      <c r="J10" s="84" t="n">
        <v>3210</v>
      </c>
      <c r="K10" s="84" t="n">
        <v>0.35</v>
      </c>
      <c r="L10" s="81" t="n">
        <v>18</v>
      </c>
      <c r="M10" s="81" t="n">
        <v>5</v>
      </c>
      <c r="N10" s="81" t="n">
        <v>92</v>
      </c>
    </row>
    <row r="11" ht="15" customHeight="1" s="62">
      <c r="A11" s="75" t="inlineStr">
        <is>
          <t>DHL Freight</t>
        </is>
      </c>
      <c r="B11" s="75" t="inlineStr">
        <is>
          <t>Eindhoven→Warsaw</t>
        </is>
      </c>
      <c r="C11" s="75" t="inlineStr">
        <is>
          <t>Jan-24</t>
        </is>
      </c>
      <c r="D11" s="76" t="n">
        <v>8</v>
      </c>
      <c r="E11" s="76" t="n">
        <v>8</v>
      </c>
      <c r="F11" s="76" t="n">
        <v>0</v>
      </c>
      <c r="G11" s="77">
        <f>IF(D11=0,0,ROUND(E11/D11*100,2))</f>
        <v/>
      </c>
      <c r="H11" s="78" t="n">
        <v>3.6</v>
      </c>
      <c r="I11" s="79" t="n">
        <v>0.418</v>
      </c>
      <c r="J11" s="79" t="n">
        <v>1880</v>
      </c>
      <c r="K11" s="79" t="n">
        <v>0.46</v>
      </c>
      <c r="L11" s="76" t="n">
        <v>18</v>
      </c>
      <c r="M11" s="76" t="n">
        <v>5</v>
      </c>
      <c r="N11" s="76" t="n">
        <v>92</v>
      </c>
    </row>
    <row r="12" ht="15" customHeight="1" s="62">
      <c r="A12" s="80" t="inlineStr">
        <is>
          <t>DHL Freight</t>
        </is>
      </c>
      <c r="B12" s="80" t="inlineStr">
        <is>
          <t>Eindhoven→Warsaw</t>
        </is>
      </c>
      <c r="C12" s="80" t="inlineStr">
        <is>
          <t>Feb-24</t>
        </is>
      </c>
      <c r="D12" s="81" t="n">
        <v>9</v>
      </c>
      <c r="E12" s="81" t="n">
        <v>7</v>
      </c>
      <c r="F12" s="81" t="n">
        <v>2</v>
      </c>
      <c r="G12" s="82">
        <f>IF(D12=0,0,ROUND(E12/D12*100,2))</f>
        <v/>
      </c>
      <c r="H12" s="83" t="n">
        <v>3.9</v>
      </c>
      <c r="I12" s="84" t="n">
        <v>0.425</v>
      </c>
      <c r="J12" s="84" t="n">
        <v>2340</v>
      </c>
      <c r="K12" s="84" t="n">
        <v>0.46</v>
      </c>
      <c r="L12" s="81" t="n">
        <v>18</v>
      </c>
      <c r="M12" s="81" t="n">
        <v>5</v>
      </c>
      <c r="N12" s="81" t="n">
        <v>92</v>
      </c>
    </row>
    <row r="13" ht="15" customHeight="1" s="62">
      <c r="A13" s="75" t="inlineStr">
        <is>
          <t>DHL Freight</t>
        </is>
      </c>
      <c r="B13" s="75" t="inlineStr">
        <is>
          <t>Eindhoven→Warsaw</t>
        </is>
      </c>
      <c r="C13" s="75" t="inlineStr">
        <is>
          <t>Mar-24</t>
        </is>
      </c>
      <c r="D13" s="76" t="n">
        <v>8</v>
      </c>
      <c r="E13" s="76" t="n">
        <v>8</v>
      </c>
      <c r="F13" s="76" t="n">
        <v>0</v>
      </c>
      <c r="G13" s="77">
        <f>IF(D13=0,0,ROUND(E13/D13*100,2))</f>
        <v/>
      </c>
      <c r="H13" s="78" t="n">
        <v>3.5</v>
      </c>
      <c r="I13" s="79" t="n">
        <v>0.414</v>
      </c>
      <c r="J13" s="79" t="n">
        <v>1960</v>
      </c>
      <c r="K13" s="79" t="n">
        <v>0.46</v>
      </c>
      <c r="L13" s="76" t="n">
        <v>18</v>
      </c>
      <c r="M13" s="76" t="n">
        <v>5</v>
      </c>
      <c r="N13" s="76" t="n">
        <v>92</v>
      </c>
    </row>
    <row r="14" ht="15" customHeight="1" s="62">
      <c r="A14" s="80" t="inlineStr">
        <is>
          <t>DHL Freight</t>
        </is>
      </c>
      <c r="B14" s="80" t="inlineStr">
        <is>
          <t>Eindhoven→Warsaw</t>
        </is>
      </c>
      <c r="C14" s="80" t="inlineStr">
        <is>
          <t>Apr-24</t>
        </is>
      </c>
      <c r="D14" s="81" t="n">
        <v>10</v>
      </c>
      <c r="E14" s="81" t="n">
        <v>10</v>
      </c>
      <c r="F14" s="81" t="n">
        <v>0</v>
      </c>
      <c r="G14" s="82">
        <f>IF(D14=0,0,ROUND(E14/D14*100,2))</f>
        <v/>
      </c>
      <c r="H14" s="83" t="n">
        <v>3.4</v>
      </c>
      <c r="I14" s="84" t="n">
        <v>0.41</v>
      </c>
      <c r="J14" s="84" t="n">
        <v>2480</v>
      </c>
      <c r="K14" s="84" t="n">
        <v>0.46</v>
      </c>
      <c r="L14" s="81" t="n">
        <v>18</v>
      </c>
      <c r="M14" s="81" t="n">
        <v>5</v>
      </c>
      <c r="N14" s="81" t="n">
        <v>92</v>
      </c>
    </row>
    <row r="15" ht="15" customHeight="1" s="62">
      <c r="A15" s="75" t="inlineStr">
        <is>
          <t>DB Schenker</t>
        </is>
      </c>
      <c r="B15" s="75" t="inlineStr">
        <is>
          <t>AMS→Frankfurt</t>
        </is>
      </c>
      <c r="C15" s="75" t="inlineStr">
        <is>
          <t>Jan-24</t>
        </is>
      </c>
      <c r="D15" s="76" t="n">
        <v>14</v>
      </c>
      <c r="E15" s="76" t="n">
        <v>14</v>
      </c>
      <c r="F15" s="76" t="n">
        <v>0</v>
      </c>
      <c r="G15" s="77">
        <f>IF(D15=0,0,ROUND(E15/D15*100,2))</f>
        <v/>
      </c>
      <c r="H15" s="78" t="n">
        <v>1.4</v>
      </c>
      <c r="I15" s="79" t="n">
        <v>0.296</v>
      </c>
      <c r="J15" s="79" t="n">
        <v>3150</v>
      </c>
      <c r="K15" s="79" t="n">
        <v>0.29</v>
      </c>
      <c r="L15" s="76" t="n">
        <v>16.5</v>
      </c>
      <c r="M15" s="76" t="n">
        <v>8</v>
      </c>
      <c r="N15" s="76" t="n">
        <v>90</v>
      </c>
    </row>
    <row r="16" ht="15" customHeight="1" s="62">
      <c r="A16" s="80" t="inlineStr">
        <is>
          <t>DB Schenker</t>
        </is>
      </c>
      <c r="B16" s="80" t="inlineStr">
        <is>
          <t>AMS→Frankfurt</t>
        </is>
      </c>
      <c r="C16" s="80" t="inlineStr">
        <is>
          <t>Feb-24</t>
        </is>
      </c>
      <c r="D16" s="81" t="n">
        <v>15</v>
      </c>
      <c r="E16" s="81" t="n">
        <v>15</v>
      </c>
      <c r="F16" s="81" t="n">
        <v>0</v>
      </c>
      <c r="G16" s="82">
        <f>IF(D16=0,0,ROUND(E16/D16*100,2))</f>
        <v/>
      </c>
      <c r="H16" s="83" t="n">
        <v>1.3</v>
      </c>
      <c r="I16" s="84" t="n">
        <v>0.288</v>
      </c>
      <c r="J16" s="84" t="n">
        <v>3820</v>
      </c>
      <c r="K16" s="84" t="n">
        <v>0.29</v>
      </c>
      <c r="L16" s="81" t="n">
        <v>16.5</v>
      </c>
      <c r="M16" s="81" t="n">
        <v>8</v>
      </c>
      <c r="N16" s="81" t="n">
        <v>90</v>
      </c>
    </row>
    <row r="17" ht="15" customHeight="1" s="62">
      <c r="A17" s="75" t="inlineStr">
        <is>
          <t>DB Schenker</t>
        </is>
      </c>
      <c r="B17" s="75" t="inlineStr">
        <is>
          <t>AMS→Frankfurt</t>
        </is>
      </c>
      <c r="C17" s="75" t="inlineStr">
        <is>
          <t>Mar-24</t>
        </is>
      </c>
      <c r="D17" s="76" t="n">
        <v>14</v>
      </c>
      <c r="E17" s="76" t="n">
        <v>13</v>
      </c>
      <c r="F17" s="76" t="n">
        <v>1</v>
      </c>
      <c r="G17" s="77">
        <f>IF(D17=0,0,ROUND(E17/D17*100,2))</f>
        <v/>
      </c>
      <c r="H17" s="78" t="n">
        <v>1.5</v>
      </c>
      <c r="I17" s="79" t="n">
        <v>0.294</v>
      </c>
      <c r="J17" s="79" t="n">
        <v>3410</v>
      </c>
      <c r="K17" s="79" t="n">
        <v>0.29</v>
      </c>
      <c r="L17" s="76" t="n">
        <v>16.5</v>
      </c>
      <c r="M17" s="76" t="n">
        <v>8</v>
      </c>
      <c r="N17" s="76" t="n">
        <v>90</v>
      </c>
    </row>
    <row r="18" ht="15" customHeight="1" s="62">
      <c r="A18" s="80" t="inlineStr">
        <is>
          <t>DB Schenker</t>
        </is>
      </c>
      <c r="B18" s="80" t="inlineStr">
        <is>
          <t>AMS→Frankfurt</t>
        </is>
      </c>
      <c r="C18" s="80" t="inlineStr">
        <is>
          <t>Apr-24</t>
        </is>
      </c>
      <c r="D18" s="81" t="n">
        <v>16</v>
      </c>
      <c r="E18" s="81" t="n">
        <v>16</v>
      </c>
      <c r="F18" s="81" t="n">
        <v>0</v>
      </c>
      <c r="G18" s="82">
        <f>IF(D18=0,0,ROUND(E18/D18*100,2))</f>
        <v/>
      </c>
      <c r="H18" s="83" t="n">
        <v>1.4</v>
      </c>
      <c r="I18" s="84" t="n">
        <v>0.29</v>
      </c>
      <c r="J18" s="84" t="n">
        <v>4020</v>
      </c>
      <c r="K18" s="84" t="n">
        <v>0.29</v>
      </c>
      <c r="L18" s="81" t="n">
        <v>16.5</v>
      </c>
      <c r="M18" s="81" t="n">
        <v>8</v>
      </c>
      <c r="N18" s="81" t="n">
        <v>90</v>
      </c>
    </row>
    <row r="19" ht="15" customHeight="1" s="62">
      <c r="A19" s="75" t="inlineStr">
        <is>
          <t>DB Schenker</t>
        </is>
      </c>
      <c r="B19" s="75" t="inlineStr">
        <is>
          <t>Rotterdam→Paris</t>
        </is>
      </c>
      <c r="C19" s="75" t="inlineStr">
        <is>
          <t>Jan-24</t>
        </is>
      </c>
      <c r="D19" s="76" t="n">
        <v>10</v>
      </c>
      <c r="E19" s="76" t="n">
        <v>10</v>
      </c>
      <c r="F19" s="76" t="n">
        <v>0</v>
      </c>
      <c r="G19" s="77">
        <f>IF(D19=0,0,ROUND(E19/D19*100,2))</f>
        <v/>
      </c>
      <c r="H19" s="78" t="n">
        <v>2.1</v>
      </c>
      <c r="I19" s="79" t="n">
        <v>0.334</v>
      </c>
      <c r="J19" s="79" t="n">
        <v>2180</v>
      </c>
      <c r="K19" s="79" t="n">
        <v>0.33</v>
      </c>
      <c r="L19" s="76" t="n">
        <v>16.5</v>
      </c>
      <c r="M19" s="76" t="n">
        <v>8</v>
      </c>
      <c r="N19" s="76" t="n">
        <v>90</v>
      </c>
    </row>
    <row r="20" ht="15" customHeight="1" s="62">
      <c r="A20" s="80" t="inlineStr">
        <is>
          <t>DB Schenker</t>
        </is>
      </c>
      <c r="B20" s="80" t="inlineStr">
        <is>
          <t>Rotterdam→Paris</t>
        </is>
      </c>
      <c r="C20" s="80" t="inlineStr">
        <is>
          <t>Feb-24</t>
        </is>
      </c>
      <c r="D20" s="81" t="n">
        <v>11</v>
      </c>
      <c r="E20" s="81" t="n">
        <v>11</v>
      </c>
      <c r="F20" s="81" t="n">
        <v>0</v>
      </c>
      <c r="G20" s="82">
        <f>IF(D20=0,0,ROUND(E20/D20*100,2))</f>
        <v/>
      </c>
      <c r="H20" s="83" t="n">
        <v>2</v>
      </c>
      <c r="I20" s="84" t="n">
        <v>0.328</v>
      </c>
      <c r="J20" s="84" t="n">
        <v>2760</v>
      </c>
      <c r="K20" s="84" t="n">
        <v>0.33</v>
      </c>
      <c r="L20" s="81" t="n">
        <v>16.5</v>
      </c>
      <c r="M20" s="81" t="n">
        <v>8</v>
      </c>
      <c r="N20" s="81" t="n">
        <v>90</v>
      </c>
    </row>
    <row r="21" ht="15" customHeight="1" s="62">
      <c r="A21" s="75" t="inlineStr">
        <is>
          <t>DB Schenker</t>
        </is>
      </c>
      <c r="B21" s="75" t="inlineStr">
        <is>
          <t>Rotterdam→Paris</t>
        </is>
      </c>
      <c r="C21" s="75" t="inlineStr">
        <is>
          <t>Mar-24</t>
        </is>
      </c>
      <c r="D21" s="76" t="n">
        <v>10</v>
      </c>
      <c r="E21" s="76" t="n">
        <v>9</v>
      </c>
      <c r="F21" s="76" t="n">
        <v>1</v>
      </c>
      <c r="G21" s="77">
        <f>IF(D21=0,0,ROUND(E21/D21*100,2))</f>
        <v/>
      </c>
      <c r="H21" s="78" t="n">
        <v>2.2</v>
      </c>
      <c r="I21" s="79" t="n">
        <v>0.339</v>
      </c>
      <c r="J21" s="79" t="n">
        <v>2510</v>
      </c>
      <c r="K21" s="79" t="n">
        <v>0.33</v>
      </c>
      <c r="L21" s="76" t="n">
        <v>16.5</v>
      </c>
      <c r="M21" s="76" t="n">
        <v>8</v>
      </c>
      <c r="N21" s="76" t="n">
        <v>90</v>
      </c>
    </row>
    <row r="22" ht="15" customHeight="1" s="62">
      <c r="A22" s="80" t="inlineStr">
        <is>
          <t>DB Schenker</t>
        </is>
      </c>
      <c r="B22" s="80" t="inlineStr">
        <is>
          <t>Rotterdam→Paris</t>
        </is>
      </c>
      <c r="C22" s="80" t="inlineStr">
        <is>
          <t>Apr-24</t>
        </is>
      </c>
      <c r="D22" s="81" t="n">
        <v>12</v>
      </c>
      <c r="E22" s="81" t="n">
        <v>12</v>
      </c>
      <c r="F22" s="81" t="n">
        <v>0</v>
      </c>
      <c r="G22" s="82">
        <f>IF(D22=0,0,ROUND(E22/D22*100,2))</f>
        <v/>
      </c>
      <c r="H22" s="83" t="n">
        <v>2</v>
      </c>
      <c r="I22" s="84" t="n">
        <v>0.331</v>
      </c>
      <c r="J22" s="84" t="n">
        <v>3050</v>
      </c>
      <c r="K22" s="84" t="n">
        <v>0.33</v>
      </c>
      <c r="L22" s="81" t="n">
        <v>16.5</v>
      </c>
      <c r="M22" s="81" t="n">
        <v>8</v>
      </c>
      <c r="N22" s="81" t="n">
        <v>90</v>
      </c>
    </row>
    <row r="23" ht="15" customHeight="1" s="62">
      <c r="A23" s="75" t="inlineStr">
        <is>
          <t>DB Schenker</t>
        </is>
      </c>
      <c r="B23" s="75" t="inlineStr">
        <is>
          <t>Eindhoven→Warsaw</t>
        </is>
      </c>
      <c r="C23" s="75" t="inlineStr">
        <is>
          <t>Jan-24</t>
        </is>
      </c>
      <c r="D23" s="76" t="n">
        <v>12</v>
      </c>
      <c r="E23" s="76" t="n">
        <v>12</v>
      </c>
      <c r="F23" s="76" t="n">
        <v>0</v>
      </c>
      <c r="G23" s="77">
        <f>IF(D23=0,0,ROUND(E23/D23*100,2))</f>
        <v/>
      </c>
      <c r="H23" s="78" t="n">
        <v>3.2</v>
      </c>
      <c r="I23" s="79" t="n">
        <v>0.384</v>
      </c>
      <c r="J23" s="79" t="n">
        <v>2680</v>
      </c>
      <c r="K23" s="79" t="n">
        <v>0.4</v>
      </c>
      <c r="L23" s="76" t="n">
        <v>16.5</v>
      </c>
      <c r="M23" s="76" t="n">
        <v>12</v>
      </c>
      <c r="N23" s="76" t="n">
        <v>90</v>
      </c>
    </row>
    <row r="24" ht="15" customHeight="1" s="62">
      <c r="A24" s="80" t="inlineStr">
        <is>
          <t>DB Schenker</t>
        </is>
      </c>
      <c r="B24" s="80" t="inlineStr">
        <is>
          <t>Eindhoven→Warsaw</t>
        </is>
      </c>
      <c r="C24" s="80" t="inlineStr">
        <is>
          <t>Feb-24</t>
        </is>
      </c>
      <c r="D24" s="81" t="n">
        <v>13</v>
      </c>
      <c r="E24" s="81" t="n">
        <v>13</v>
      </c>
      <c r="F24" s="81" t="n">
        <v>0</v>
      </c>
      <c r="G24" s="82">
        <f>IF(D24=0,0,ROUND(E24/D24*100,2))</f>
        <v/>
      </c>
      <c r="H24" s="83" t="n">
        <v>3.1</v>
      </c>
      <c r="I24" s="84" t="n">
        <v>0.376</v>
      </c>
      <c r="J24" s="84" t="n">
        <v>3210</v>
      </c>
      <c r="K24" s="84" t="n">
        <v>0.4</v>
      </c>
      <c r="L24" s="81" t="n">
        <v>16.5</v>
      </c>
      <c r="M24" s="81" t="n">
        <v>12</v>
      </c>
      <c r="N24" s="81" t="n">
        <v>90</v>
      </c>
    </row>
    <row r="25" ht="15" customHeight="1" s="62">
      <c r="A25" s="75" t="inlineStr">
        <is>
          <t>DB Schenker</t>
        </is>
      </c>
      <c r="B25" s="75" t="inlineStr">
        <is>
          <t>Eindhoven→Warsaw</t>
        </is>
      </c>
      <c r="C25" s="75" t="inlineStr">
        <is>
          <t>Mar-24</t>
        </is>
      </c>
      <c r="D25" s="76" t="n">
        <v>12</v>
      </c>
      <c r="E25" s="76" t="n">
        <v>12</v>
      </c>
      <c r="F25" s="76" t="n">
        <v>0</v>
      </c>
      <c r="G25" s="77">
        <f>IF(D25=0,0,ROUND(E25/D25*100,2))</f>
        <v/>
      </c>
      <c r="H25" s="78" t="n">
        <v>3.2</v>
      </c>
      <c r="I25" s="79" t="n">
        <v>0.38</v>
      </c>
      <c r="J25" s="79" t="n">
        <v>2940</v>
      </c>
      <c r="K25" s="79" t="n">
        <v>0.4</v>
      </c>
      <c r="L25" s="76" t="n">
        <v>16.5</v>
      </c>
      <c r="M25" s="76" t="n">
        <v>12</v>
      </c>
      <c r="N25" s="76" t="n">
        <v>90</v>
      </c>
    </row>
    <row r="26" ht="15" customHeight="1" s="62">
      <c r="A26" s="80" t="inlineStr">
        <is>
          <t>DB Schenker</t>
        </is>
      </c>
      <c r="B26" s="80" t="inlineStr">
        <is>
          <t>Eindhoven→Warsaw</t>
        </is>
      </c>
      <c r="C26" s="80" t="inlineStr">
        <is>
          <t>Apr-24</t>
        </is>
      </c>
      <c r="D26" s="81" t="n">
        <v>14</v>
      </c>
      <c r="E26" s="81" t="n">
        <v>13</v>
      </c>
      <c r="F26" s="81" t="n">
        <v>1</v>
      </c>
      <c r="G26" s="82">
        <f>IF(D26=0,0,ROUND(E26/D26*100,2))</f>
        <v/>
      </c>
      <c r="H26" s="83" t="n">
        <v>3.3</v>
      </c>
      <c r="I26" s="84" t="n">
        <v>0.382</v>
      </c>
      <c r="J26" s="84" t="n">
        <v>3580</v>
      </c>
      <c r="K26" s="84" t="n">
        <v>0.4</v>
      </c>
      <c r="L26" s="81" t="n">
        <v>16.5</v>
      </c>
      <c r="M26" s="81" t="n">
        <v>12</v>
      </c>
      <c r="N26" s="81" t="n">
        <v>90</v>
      </c>
    </row>
    <row r="27" ht="15" customHeight="1" s="62">
      <c r="A27" s="75" t="inlineStr">
        <is>
          <t>Kuehne+Nagel</t>
        </is>
      </c>
      <c r="B27" s="75" t="inlineStr">
        <is>
          <t>AMS→Frankfurt</t>
        </is>
      </c>
      <c r="C27" s="75" t="inlineStr">
        <is>
          <t>Jan-24</t>
        </is>
      </c>
      <c r="D27" s="76" t="n">
        <v>13</v>
      </c>
      <c r="E27" s="76" t="n">
        <v>13</v>
      </c>
      <c r="F27" s="76" t="n">
        <v>0</v>
      </c>
      <c r="G27" s="77">
        <f>IF(D27=0,0,ROUND(E27/D27*100,2))</f>
        <v/>
      </c>
      <c r="H27" s="78" t="n">
        <v>1.5</v>
      </c>
      <c r="I27" s="79" t="n">
        <v>0.308</v>
      </c>
      <c r="J27" s="79" t="n">
        <v>2940</v>
      </c>
      <c r="K27" s="79" t="n">
        <v>0.3</v>
      </c>
      <c r="L27" s="76" t="n">
        <v>17</v>
      </c>
      <c r="M27" s="76" t="n">
        <v>9</v>
      </c>
      <c r="N27" s="76" t="n">
        <v>91</v>
      </c>
    </row>
    <row r="28" ht="15" customHeight="1" s="62">
      <c r="A28" s="80" t="inlineStr">
        <is>
          <t>Kuehne+Nagel</t>
        </is>
      </c>
      <c r="B28" s="80" t="inlineStr">
        <is>
          <t>AMS→Frankfurt</t>
        </is>
      </c>
      <c r="C28" s="80" t="inlineStr">
        <is>
          <t>Feb-24</t>
        </is>
      </c>
      <c r="D28" s="81" t="n">
        <v>14</v>
      </c>
      <c r="E28" s="81" t="n">
        <v>13</v>
      </c>
      <c r="F28" s="81" t="n">
        <v>1</v>
      </c>
      <c r="G28" s="82">
        <f>IF(D28=0,0,ROUND(E28/D28*100,2))</f>
        <v/>
      </c>
      <c r="H28" s="83" t="n">
        <v>1.6</v>
      </c>
      <c r="I28" s="84" t="n">
        <v>0.302</v>
      </c>
      <c r="J28" s="84" t="n">
        <v>3480</v>
      </c>
      <c r="K28" s="84" t="n">
        <v>0.3</v>
      </c>
      <c r="L28" s="81" t="n">
        <v>17</v>
      </c>
      <c r="M28" s="81" t="n">
        <v>9</v>
      </c>
      <c r="N28" s="81" t="n">
        <v>91</v>
      </c>
    </row>
    <row r="29" ht="15" customHeight="1" s="62">
      <c r="A29" s="75" t="inlineStr">
        <is>
          <t>Kuehne+Nagel</t>
        </is>
      </c>
      <c r="B29" s="75" t="inlineStr">
        <is>
          <t>AMS→Frankfurt</t>
        </is>
      </c>
      <c r="C29" s="75" t="inlineStr">
        <is>
          <t>Mar-24</t>
        </is>
      </c>
      <c r="D29" s="76" t="n">
        <v>13</v>
      </c>
      <c r="E29" s="76" t="n">
        <v>13</v>
      </c>
      <c r="F29" s="76" t="n">
        <v>0</v>
      </c>
      <c r="G29" s="77">
        <f>IF(D29=0,0,ROUND(E29/D29*100,2))</f>
        <v/>
      </c>
      <c r="H29" s="78" t="n">
        <v>1.5</v>
      </c>
      <c r="I29" s="79" t="n">
        <v>0.305</v>
      </c>
      <c r="J29" s="79" t="n">
        <v>3180</v>
      </c>
      <c r="K29" s="79" t="n">
        <v>0.3</v>
      </c>
      <c r="L29" s="76" t="n">
        <v>17</v>
      </c>
      <c r="M29" s="76" t="n">
        <v>9</v>
      </c>
      <c r="N29" s="76" t="n">
        <v>91</v>
      </c>
    </row>
    <row r="30" ht="15" customHeight="1" s="62">
      <c r="A30" s="80" t="inlineStr">
        <is>
          <t>Kuehne+Nagel</t>
        </is>
      </c>
      <c r="B30" s="80" t="inlineStr">
        <is>
          <t>AMS→Frankfurt</t>
        </is>
      </c>
      <c r="C30" s="80" t="inlineStr">
        <is>
          <t>Apr-24</t>
        </is>
      </c>
      <c r="D30" s="81" t="n">
        <v>15</v>
      </c>
      <c r="E30" s="81" t="n">
        <v>15</v>
      </c>
      <c r="F30" s="81" t="n">
        <v>0</v>
      </c>
      <c r="G30" s="82">
        <f>IF(D30=0,0,ROUND(E30/D30*100,2))</f>
        <v/>
      </c>
      <c r="H30" s="83" t="n">
        <v>1.4</v>
      </c>
      <c r="I30" s="84" t="n">
        <v>0.299</v>
      </c>
      <c r="J30" s="84" t="n">
        <v>3760</v>
      </c>
      <c r="K30" s="84" t="n">
        <v>0.3</v>
      </c>
      <c r="L30" s="81" t="n">
        <v>17</v>
      </c>
      <c r="M30" s="81" t="n">
        <v>9</v>
      </c>
      <c r="N30" s="81" t="n">
        <v>91</v>
      </c>
    </row>
    <row r="31" ht="15" customHeight="1" s="62">
      <c r="A31" s="75" t="inlineStr">
        <is>
          <t>Kuehne+Nagel</t>
        </is>
      </c>
      <c r="B31" s="75" t="inlineStr">
        <is>
          <t>Rotterdam→Paris</t>
        </is>
      </c>
      <c r="C31" s="75" t="inlineStr">
        <is>
          <t>Jan-24</t>
        </is>
      </c>
      <c r="D31" s="76" t="n">
        <v>11</v>
      </c>
      <c r="E31" s="76" t="n">
        <v>11</v>
      </c>
      <c r="F31" s="76" t="n">
        <v>0</v>
      </c>
      <c r="G31" s="77">
        <f>IF(D31=0,0,ROUND(E31/D31*100,2))</f>
        <v/>
      </c>
      <c r="H31" s="78" t="n">
        <v>1.9</v>
      </c>
      <c r="I31" s="79" t="n">
        <v>0.336</v>
      </c>
      <c r="J31" s="79" t="n">
        <v>2480</v>
      </c>
      <c r="K31" s="79" t="n">
        <v>0.32</v>
      </c>
      <c r="L31" s="76" t="n">
        <v>17</v>
      </c>
      <c r="M31" s="76" t="n">
        <v>9</v>
      </c>
      <c r="N31" s="76" t="n">
        <v>91</v>
      </c>
    </row>
    <row r="32" ht="15" customHeight="1" s="62">
      <c r="A32" s="80" t="inlineStr">
        <is>
          <t>Kuehne+Nagel</t>
        </is>
      </c>
      <c r="B32" s="80" t="inlineStr">
        <is>
          <t>Rotterdam→Paris</t>
        </is>
      </c>
      <c r="C32" s="80" t="inlineStr">
        <is>
          <t>Feb-24</t>
        </is>
      </c>
      <c r="D32" s="81" t="n">
        <v>12</v>
      </c>
      <c r="E32" s="81" t="n">
        <v>12</v>
      </c>
      <c r="F32" s="81" t="n">
        <v>0</v>
      </c>
      <c r="G32" s="82">
        <f>IF(D32=0,0,ROUND(E32/D32*100,2))</f>
        <v/>
      </c>
      <c r="H32" s="83" t="n">
        <v>1.8</v>
      </c>
      <c r="I32" s="84" t="n">
        <v>0.329</v>
      </c>
      <c r="J32" s="84" t="n">
        <v>3080</v>
      </c>
      <c r="K32" s="84" t="n">
        <v>0.32</v>
      </c>
      <c r="L32" s="81" t="n">
        <v>17</v>
      </c>
      <c r="M32" s="81" t="n">
        <v>9</v>
      </c>
      <c r="N32" s="81" t="n">
        <v>91</v>
      </c>
    </row>
    <row r="33" ht="15" customHeight="1" s="62">
      <c r="A33" s="75" t="inlineStr">
        <is>
          <t>Kuehne+Nagel</t>
        </is>
      </c>
      <c r="B33" s="75" t="inlineStr">
        <is>
          <t>Rotterdam→Paris</t>
        </is>
      </c>
      <c r="C33" s="75" t="inlineStr">
        <is>
          <t>Mar-24</t>
        </is>
      </c>
      <c r="D33" s="76" t="n">
        <v>11</v>
      </c>
      <c r="E33" s="76" t="n">
        <v>11</v>
      </c>
      <c r="F33" s="76" t="n">
        <v>0</v>
      </c>
      <c r="G33" s="77">
        <f>IF(D33=0,0,ROUND(E33/D33*100,2))</f>
        <v/>
      </c>
      <c r="H33" s="78" t="n">
        <v>1.9</v>
      </c>
      <c r="I33" s="79" t="n">
        <v>0.333</v>
      </c>
      <c r="J33" s="79" t="n">
        <v>2710</v>
      </c>
      <c r="K33" s="79" t="n">
        <v>0.32</v>
      </c>
      <c r="L33" s="76" t="n">
        <v>17</v>
      </c>
      <c r="M33" s="76" t="n">
        <v>9</v>
      </c>
      <c r="N33" s="76" t="n">
        <v>91</v>
      </c>
    </row>
    <row r="34" ht="15" customHeight="1" s="62">
      <c r="A34" s="80" t="inlineStr">
        <is>
          <t>Kuehne+Nagel</t>
        </is>
      </c>
      <c r="B34" s="80" t="inlineStr">
        <is>
          <t>Rotterdam→Paris</t>
        </is>
      </c>
      <c r="C34" s="80" t="inlineStr">
        <is>
          <t>Apr-24</t>
        </is>
      </c>
      <c r="D34" s="81" t="n">
        <v>13</v>
      </c>
      <c r="E34" s="81" t="n">
        <v>12</v>
      </c>
      <c r="F34" s="81" t="n">
        <v>1</v>
      </c>
      <c r="G34" s="82">
        <f>IF(D34=0,0,ROUND(E34/D34*100,2))</f>
        <v/>
      </c>
      <c r="H34" s="83" t="n">
        <v>2</v>
      </c>
      <c r="I34" s="84" t="n">
        <v>0.338</v>
      </c>
      <c r="J34" s="84" t="n">
        <v>3420</v>
      </c>
      <c r="K34" s="84" t="n">
        <v>0.32</v>
      </c>
      <c r="L34" s="81" t="n">
        <v>17</v>
      </c>
      <c r="M34" s="81" t="n">
        <v>9</v>
      </c>
      <c r="N34" s="81" t="n">
        <v>91</v>
      </c>
    </row>
    <row r="35" ht="15" customHeight="1" s="62">
      <c r="A35" s="75" t="inlineStr">
        <is>
          <t>Kuehne+Nagel</t>
        </is>
      </c>
      <c r="B35" s="75" t="inlineStr">
        <is>
          <t>Eindhoven→Warsaw</t>
        </is>
      </c>
      <c r="C35" s="75" t="inlineStr">
        <is>
          <t>Jan-24</t>
        </is>
      </c>
      <c r="D35" s="76" t="n">
        <v>10</v>
      </c>
      <c r="E35" s="76" t="n">
        <v>10</v>
      </c>
      <c r="F35" s="76" t="n">
        <v>0</v>
      </c>
      <c r="G35" s="77">
        <f>IF(D35=0,0,ROUND(E35/D35*100,2))</f>
        <v/>
      </c>
      <c r="H35" s="78" t="n">
        <v>3.4</v>
      </c>
      <c r="I35" s="79" t="n">
        <v>0.401</v>
      </c>
      <c r="J35" s="79" t="n">
        <v>2180</v>
      </c>
      <c r="K35" s="79" t="n">
        <v>0.43</v>
      </c>
      <c r="L35" s="76" t="n">
        <v>17</v>
      </c>
      <c r="M35" s="76" t="n">
        <v>5.5</v>
      </c>
      <c r="N35" s="76" t="n">
        <v>91</v>
      </c>
    </row>
    <row r="36" ht="15" customHeight="1" s="62">
      <c r="A36" s="80" t="inlineStr">
        <is>
          <t>Kuehne+Nagel</t>
        </is>
      </c>
      <c r="B36" s="80" t="inlineStr">
        <is>
          <t>Eindhoven→Warsaw</t>
        </is>
      </c>
      <c r="C36" s="80" t="inlineStr">
        <is>
          <t>Feb-24</t>
        </is>
      </c>
      <c r="D36" s="81" t="n">
        <v>11</v>
      </c>
      <c r="E36" s="81" t="n">
        <v>11</v>
      </c>
      <c r="F36" s="81" t="n">
        <v>0</v>
      </c>
      <c r="G36" s="82">
        <f>IF(D36=0,0,ROUND(E36/D36*100,2))</f>
        <v/>
      </c>
      <c r="H36" s="83" t="n">
        <v>3.3</v>
      </c>
      <c r="I36" s="84" t="n">
        <v>0.395</v>
      </c>
      <c r="J36" s="84" t="n">
        <v>2680</v>
      </c>
      <c r="K36" s="84" t="n">
        <v>0.43</v>
      </c>
      <c r="L36" s="81" t="n">
        <v>17</v>
      </c>
      <c r="M36" s="81" t="n">
        <v>5.5</v>
      </c>
      <c r="N36" s="81" t="n">
        <v>91</v>
      </c>
    </row>
    <row r="37" ht="15" customHeight="1" s="62">
      <c r="A37" s="75" t="inlineStr">
        <is>
          <t>Kuehne+Nagel</t>
        </is>
      </c>
      <c r="B37" s="75" t="inlineStr">
        <is>
          <t>Eindhoven→Warsaw</t>
        </is>
      </c>
      <c r="C37" s="75" t="inlineStr">
        <is>
          <t>Mar-24</t>
        </is>
      </c>
      <c r="D37" s="76" t="n">
        <v>10</v>
      </c>
      <c r="E37" s="76" t="n">
        <v>9</v>
      </c>
      <c r="F37" s="76" t="n">
        <v>1</v>
      </c>
      <c r="G37" s="77">
        <f>IF(D37=0,0,ROUND(E37/D37*100,2))</f>
        <v/>
      </c>
      <c r="H37" s="78" t="n">
        <v>3.5</v>
      </c>
      <c r="I37" s="79" t="n">
        <v>0.402</v>
      </c>
      <c r="J37" s="79" t="n">
        <v>2420</v>
      </c>
      <c r="K37" s="79" t="n">
        <v>0.43</v>
      </c>
      <c r="L37" s="76" t="n">
        <v>17</v>
      </c>
      <c r="M37" s="76" t="n">
        <v>5.5</v>
      </c>
      <c r="N37" s="76" t="n">
        <v>91</v>
      </c>
    </row>
    <row r="38" ht="15" customHeight="1" s="62">
      <c r="A38" s="80" t="inlineStr">
        <is>
          <t>Kuehne+Nagel</t>
        </is>
      </c>
      <c r="B38" s="80" t="inlineStr">
        <is>
          <t>Eindhoven→Warsaw</t>
        </is>
      </c>
      <c r="C38" s="80" t="inlineStr">
        <is>
          <t>Apr-24</t>
        </is>
      </c>
      <c r="D38" s="81" t="n">
        <v>12</v>
      </c>
      <c r="E38" s="81" t="n">
        <v>12</v>
      </c>
      <c r="F38" s="81" t="n">
        <v>0</v>
      </c>
      <c r="G38" s="82">
        <f>IF(D38=0,0,ROUND(E38/D38*100,2))</f>
        <v/>
      </c>
      <c r="H38" s="83" t="n">
        <v>3.3</v>
      </c>
      <c r="I38" s="84" t="n">
        <v>0.398</v>
      </c>
      <c r="J38" s="84" t="n">
        <v>2950</v>
      </c>
      <c r="K38" s="84" t="n">
        <v>0.43</v>
      </c>
      <c r="L38" s="81" t="n">
        <v>17</v>
      </c>
      <c r="M38" s="81" t="n">
        <v>5.5</v>
      </c>
      <c r="N38" s="81" t="n">
        <v>91</v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7AE60"/>
    <outlinePr summaryBelow="1" summaryRight="1"/>
    <pageSetUpPr fitToPage="0"/>
  </sheetPr>
  <dimension ref="A1:J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61" min="1" max="1"/>
    <col width="15" customWidth="1" style="61" min="2" max="2"/>
    <col width="18" customWidth="1" style="61" min="3" max="3"/>
    <col width="16" customWidth="1" style="61" min="4" max="5"/>
    <col width="18" customWidth="1" style="61" min="6" max="6"/>
    <col width="20" customWidth="1" style="61" min="7" max="7"/>
    <col width="16" customWidth="1" style="61" min="8" max="8"/>
    <col width="8" customWidth="1" style="61" min="9" max="9"/>
    <col width="20" customWidth="1" style="61" min="10" max="10"/>
  </cols>
  <sheetData>
    <row r="1" ht="27.75" customHeight="1" s="62">
      <c r="A1" s="85" t="inlineStr">
        <is>
          <t>PROVIDER WEIGHTED SCORECARD  |  Adjust weights in B4:B6 to see ranking change</t>
        </is>
      </c>
    </row>
    <row r="3" ht="15" customHeight="1" s="62">
      <c r="A3" s="86" t="inlineStr">
        <is>
          <t>⚙️  WEIGHT ASSUMPTIONS (must sum to 100%)</t>
        </is>
      </c>
    </row>
    <row r="4" ht="15" customHeight="1" s="62">
      <c r="A4" s="87" t="inlineStr">
        <is>
          <t>Cost Weight (%)</t>
        </is>
      </c>
      <c r="B4" s="88" t="n">
        <v>40</v>
      </c>
      <c r="C4" s="89" t="inlineStr">
        <is>
          <t>← Change this</t>
        </is>
      </c>
    </row>
    <row r="5" ht="15" customHeight="1" s="62">
      <c r="A5" s="87" t="inlineStr">
        <is>
          <t>Reliability Weight (%)</t>
        </is>
      </c>
      <c r="B5" s="88" t="n">
        <v>35</v>
      </c>
      <c r="C5" s="89" t="inlineStr">
        <is>
          <t>← Change this</t>
        </is>
      </c>
    </row>
    <row r="6" ht="15" customHeight="1" s="62">
      <c r="A6" s="87" t="inlineStr">
        <is>
          <t>Lead Time Weight (%)</t>
        </is>
      </c>
      <c r="B6" s="88" t="n">
        <v>25</v>
      </c>
      <c r="C6" s="89" t="inlineStr">
        <is>
          <t>← Change this</t>
        </is>
      </c>
    </row>
    <row r="7" ht="15" customHeight="1" s="62">
      <c r="A7" s="61" t="inlineStr">
        <is>
          <t>Sum of Weights:</t>
        </is>
      </c>
      <c r="B7" s="90">
        <f>B4+B5+B6</f>
        <v/>
      </c>
    </row>
    <row r="9" ht="15" customHeight="1" s="62">
      <c r="A9" s="86" t="inlineStr">
        <is>
          <t>PROVIDER AGGREGATED METRICS  (averaged across all lanes)</t>
        </is>
      </c>
    </row>
    <row r="10" ht="23.85" customHeight="1" s="62">
      <c r="A10" s="74" t="inlineStr">
        <is>
          <t>Provider</t>
        </is>
      </c>
      <c r="B10" s="74" t="inlineStr">
        <is>
          <t>Avg Cost/kg</t>
        </is>
      </c>
      <c r="C10" s="74" t="inlineStr">
        <is>
          <t>On-Time %</t>
        </is>
      </c>
      <c r="D10" s="74" t="inlineStr">
        <is>
          <t>Avg Lead Days</t>
        </is>
      </c>
      <c r="E10" s="74" t="inlineStr">
        <is>
          <t>Cost Score (0-100)</t>
        </is>
      </c>
      <c r="F10" s="74" t="inlineStr">
        <is>
          <t>Reliability Score</t>
        </is>
      </c>
      <c r="G10" s="74" t="inlineStr">
        <is>
          <t>Lead Time Score</t>
        </is>
      </c>
      <c r="H10" s="74" t="inlineStr">
        <is>
          <t>Weighted Score</t>
        </is>
      </c>
      <c r="I10" s="74" t="inlineStr">
        <is>
          <t>Rank</t>
        </is>
      </c>
      <c r="J10" s="74" t="inlineStr">
        <is>
          <t>Recommendation</t>
        </is>
      </c>
    </row>
    <row r="11" ht="15" customHeight="1" s="62">
      <c r="A11" s="91" t="inlineStr">
        <is>
          <t>DHL Freight</t>
        </is>
      </c>
      <c r="B11" s="92" t="n">
        <v>0.3601</v>
      </c>
      <c r="C11" s="93" t="n">
        <v>91.67</v>
      </c>
      <c r="D11" s="94" t="n">
        <v>2.57</v>
      </c>
      <c r="E11" s="75">
        <f>ROUND((1-(B11-MIN($B$11:$B$13))/(MAX($B$11:$B$13)-MIN($B$11:$B$13)))*100,2)</f>
        <v/>
      </c>
      <c r="F11" s="75">
        <f>ROUND((C11-MIN($C$11:$C$13))/(MAX($C$11:$C$13)-MIN($C$11:$C$13))*100,2)</f>
        <v/>
      </c>
      <c r="G11" s="75">
        <f>ROUND((1-(D11-MIN($D$11:$D$13))/(MAX($D$11:$D$13)-MIN($D$11:$D$13)))*100,2)</f>
        <v/>
      </c>
      <c r="H11" s="91">
        <f>ROUND(E11*($B$4/100)+F11*($B$5/100)+G11*($B$6/100),2)</f>
        <v/>
      </c>
      <c r="I11" s="91">
        <f>RANK(H11,$H$11:$H$13,0)</f>
        <v/>
      </c>
      <c r="J11" s="95">
        <f>IF(I11=1,"🏆 RECOMMENDED",IF(I11=2,"✅ Alternative","❌ Not Preferred"))</f>
        <v/>
      </c>
    </row>
    <row r="12" ht="15" customHeight="1" s="62">
      <c r="A12" s="96" t="inlineStr">
        <is>
          <t>DB Schenker</t>
        </is>
      </c>
      <c r="B12" s="97" t="n">
        <v>0.346</v>
      </c>
      <c r="C12" s="98" t="n">
        <v>97.22</v>
      </c>
      <c r="D12" s="99" t="n">
        <v>2.3</v>
      </c>
      <c r="E12" s="80">
        <f>ROUND((1-(B12-MIN($B$11:$B$13))/(MAX($B$11:$B$13)-MIN($B$11:$B$13)))*100,2)</f>
        <v/>
      </c>
      <c r="F12" s="80">
        <f>ROUND((C12-MIN($C$11:$C$13))/(MAX($C$11:$C$13)-MIN($C$11:$C$13))*100,2)</f>
        <v/>
      </c>
      <c r="G12" s="80">
        <f>ROUND((1-(D12-MIN($D$11:$D$13))/(MAX($D$11:$D$13)-MIN($D$11:$D$13)))*100,2)</f>
        <v/>
      </c>
      <c r="H12" s="96">
        <f>ROUND(E12*($B$4/100)+F12*($B$5/100)+G12*($B$6/100),2)</f>
        <v/>
      </c>
      <c r="I12" s="96">
        <f>RANK(H12,$H$11:$H$13,0)</f>
        <v/>
      </c>
      <c r="J12" s="100">
        <f>IF(I12=1,"🏆 RECOMMENDED",IF(I12=2,"✅ Alternative","❌ Not Preferred"))</f>
        <v/>
      </c>
    </row>
    <row r="13" ht="15" customHeight="1" s="62">
      <c r="A13" s="91" t="inlineStr">
        <is>
          <t>Kuehne+Nagel</t>
        </is>
      </c>
      <c r="B13" s="92" t="n">
        <v>0.3557</v>
      </c>
      <c r="C13" s="93" t="n">
        <v>96.3</v>
      </c>
      <c r="D13" s="94" t="n">
        <v>2.46</v>
      </c>
      <c r="E13" s="75">
        <f>ROUND((1-(B13-MIN($B$11:$B$13))/(MAX($B$11:$B$13)-MIN($B$11:$B$13)))*100,2)</f>
        <v/>
      </c>
      <c r="F13" s="75">
        <f>ROUND((C13-MIN($C$11:$C$13))/(MAX($C$11:$C$13)-MIN($C$11:$C$13))*100,2)</f>
        <v/>
      </c>
      <c r="G13" s="75">
        <f>ROUND((1-(D13-MIN($D$11:$D$13))/(MAX($D$11:$D$13)-MIN($D$11:$D$13)))*100,2)</f>
        <v/>
      </c>
      <c r="H13" s="91">
        <f>ROUND(E13*($B$4/100)+F13*($B$5/100)+G13*($B$6/100),2)</f>
        <v/>
      </c>
      <c r="I13" s="91">
        <f>RANK(H13,$H$11:$H$13,0)</f>
        <v/>
      </c>
      <c r="J13" s="95">
        <f>IF(I13=1,"🏆 RECOMMENDED",IF(I13=2,"✅ Alternative","❌ Not Preferred"))</f>
        <v/>
      </c>
    </row>
    <row r="15" ht="15" customHeight="1" s="62">
      <c r="A15" s="101" t="inlineStr">
        <is>
          <t>ℹ️  Blue cells = inputs you can change. Scores auto-recalculate. Rank 1 = Best overall.</t>
        </is>
      </c>
    </row>
    <row r="17" ht="15" customHeight="1" s="62">
      <c r="A17" s="86" t="inlineStr">
        <is>
          <t>LANE-LEVEL RECOMMENDED PROVIDER  (based on cost/kg averages per corridor)</t>
        </is>
      </c>
    </row>
    <row r="18" ht="23.85" customHeight="1" s="62">
      <c r="A18" s="74" t="inlineStr">
        <is>
          <t>Lane</t>
        </is>
      </c>
      <c r="B18" s="74" t="inlineStr">
        <is>
          <t>DHL Cost/kg</t>
        </is>
      </c>
      <c r="C18" s="74" t="inlineStr">
        <is>
          <t>DB Schenker Cost/kg</t>
        </is>
      </c>
      <c r="D18" s="74" t="inlineStr">
        <is>
          <t>K+N Cost/kg</t>
        </is>
      </c>
      <c r="E18" s="74" t="inlineStr">
        <is>
          <t>Cheapest Provider</t>
        </is>
      </c>
      <c r="F18" s="74" t="inlineStr">
        <is>
          <t>Potential Annual Saving (€)</t>
        </is>
      </c>
      <c r="G18" s="74" t="inlineStr">
        <is>
          <t>Recommendation</t>
        </is>
      </c>
    </row>
    <row r="19" ht="15" customHeight="1" s="62">
      <c r="A19" s="91" t="inlineStr">
        <is>
          <t>AMS → Frankfurt</t>
        </is>
      </c>
      <c r="B19" s="92" t="n">
        <v>0.321</v>
      </c>
      <c r="C19" s="92" t="n">
        <v>0.292</v>
      </c>
      <c r="D19" s="92" t="n">
        <v>0.303</v>
      </c>
      <c r="E19" s="91">
        <f>IF(MIN(B19:D19)=B19,"DHL Freight",IF(MIN(B19:D19)=C19,"DB Schenker","Kuehne+Nagel"))</f>
        <v/>
      </c>
      <c r="F19" s="102">
        <f>ROUND((MAX(B19:D19)-MIN(B19:D19))*800000,0)</f>
        <v/>
      </c>
      <c r="G19" s="75">
        <f>IF(E19="DB Schenker","Switch to DB Schenker",IF(E19="Kuehne+Nagel","Consider K+N","DHL is cheapest here"))</f>
        <v/>
      </c>
    </row>
    <row r="20" ht="15" customHeight="1" s="62">
      <c r="A20" s="96" t="inlineStr">
        <is>
          <t>Rotterdam → Paris</t>
        </is>
      </c>
      <c r="B20" s="97" t="n">
        <v>0.361</v>
      </c>
      <c r="C20" s="97" t="n">
        <v>0.333</v>
      </c>
      <c r="D20" s="97" t="n">
        <v>0.335</v>
      </c>
      <c r="E20" s="96">
        <f>IF(MIN(B20:D20)=B20,"DHL Freight",IF(MIN(B20:D20)=C20,"DB Schenker","Kuehne+Nagel"))</f>
        <v/>
      </c>
      <c r="F20" s="103">
        <f>ROUND((MAX(B20:D20)-MIN(B20:D20))*800000,0)</f>
        <v/>
      </c>
      <c r="G20" s="80">
        <f>IF(E20="DB Schenker","Switch to DB Schenker",IF(E20="Kuehne+Nagel","Consider K+N","DHL is cheapest here"))</f>
        <v/>
      </c>
    </row>
    <row r="21" ht="15" customHeight="1" s="62">
      <c r="A21" s="91" t="inlineStr">
        <is>
          <t>Eindhoven → Warsaw</t>
        </is>
      </c>
      <c r="B21" s="92" t="n">
        <v>0.4168</v>
      </c>
      <c r="C21" s="92" t="n">
        <v>0.3805</v>
      </c>
      <c r="D21" s="92" t="n">
        <v>0.3988</v>
      </c>
      <c r="E21" s="91">
        <f>IF(MIN(B21:D21)=B21,"DHL Freight",IF(MIN(B21:D21)=C21,"DB Schenker","Kuehne+Nagel"))</f>
        <v/>
      </c>
      <c r="F21" s="102">
        <f>ROUND((MAX(B21:D21)-MIN(B21:D21))*800000,0)</f>
        <v/>
      </c>
      <c r="G21" s="75">
        <f>IF(E21="DB Schenker","Switch to DB Schenker",IF(E21="Kuehne+Nagel","Consider K+N","DHL is cheapest here"))</f>
        <v/>
      </c>
    </row>
    <row r="23" ht="15" customHeight="1" s="62">
      <c r="A23" s="89" t="inlineStr">
        <is>
          <t>*Annual volume assumption: 800,000 kg per lane. Adjust in formula col F if needed.</t>
        </is>
      </c>
    </row>
  </sheetData>
  <mergeCells count="4">
    <mergeCell ref="A1:J1"/>
    <mergeCell ref="A9:J9"/>
    <mergeCell ref="A3:C3"/>
    <mergeCell ref="A17:J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67E22"/>
    <outlinePr summaryBelow="1" summaryRight="1"/>
    <pageSetUpPr fitToPage="0"/>
  </sheetPr>
  <dimension ref="A1:I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61" min="1" max="1"/>
    <col width="22" customWidth="1" style="61" min="2" max="2"/>
    <col width="14" customWidth="1" style="61" min="3" max="4"/>
    <col width="16" customWidth="1" style="61" min="5" max="6"/>
    <col width="18" customWidth="1" style="61" min="7" max="8"/>
    <col width="22" customWidth="1" style="61" min="9" max="9"/>
  </cols>
  <sheetData>
    <row r="1" ht="27.75" customHeight="1" s="62">
      <c r="A1" s="85" t="inlineStr">
        <is>
          <t>SENSITIVITY ANALYSIS  |  Impact of Fuel Surcharge &amp; Volume Changes on Provider Ranking</t>
        </is>
      </c>
    </row>
    <row r="3" ht="15" customHeight="1" s="62">
      <c r="A3" s="86" t="inlineStr">
        <is>
          <t>⚙️  SCENARIO INPUTS</t>
        </is>
      </c>
    </row>
    <row r="4" ht="15" customHeight="1" s="62">
      <c r="A4" s="87" t="inlineStr">
        <is>
          <t>Base Annual Volume (kg)</t>
        </is>
      </c>
      <c r="B4" s="88" t="n">
        <v>2400000</v>
      </c>
      <c r="C4" s="89" t="inlineStr">
        <is>
          <t>← Adjust this</t>
        </is>
      </c>
    </row>
    <row r="5" ht="15" customHeight="1" s="62">
      <c r="A5" s="87" t="inlineStr">
        <is>
          <t>Fuel Surcharge Change (%)</t>
        </is>
      </c>
      <c r="B5" s="88" t="n">
        <v>20</v>
      </c>
      <c r="C5" s="89" t="inlineStr">
        <is>
          <t>← Adjust this</t>
        </is>
      </c>
    </row>
    <row r="6" ht="15" customHeight="1" s="62">
      <c r="A6" s="87" t="inlineStr">
        <is>
          <t>Volume Change Scenario (%)</t>
        </is>
      </c>
      <c r="B6" s="88" t="n">
        <v>15</v>
      </c>
      <c r="C6" s="89" t="inlineStr">
        <is>
          <t>← Adjust this</t>
        </is>
      </c>
    </row>
    <row r="7" ht="15" customHeight="1" s="62">
      <c r="A7" s="87" t="inlineStr">
        <is>
          <t>Eindhoven→Warsaw Volume (kg)</t>
        </is>
      </c>
      <c r="B7" s="88" t="n">
        <v>800000</v>
      </c>
      <c r="C7" s="89" t="inlineStr">
        <is>
          <t>← Adjust this</t>
        </is>
      </c>
    </row>
    <row r="8" ht="15" customHeight="1" s="62">
      <c r="A8" s="87" t="inlineStr">
        <is>
          <t>AMS→Frankfurt Volume (kg)</t>
        </is>
      </c>
      <c r="B8" s="88" t="n">
        <v>900000</v>
      </c>
      <c r="C8" s="89" t="inlineStr">
        <is>
          <t>← Adjust this</t>
        </is>
      </c>
    </row>
    <row r="9" ht="15" customHeight="1" s="62">
      <c r="A9" s="87" t="inlineStr">
        <is>
          <t>Rotterdam→Paris Volume (kg)</t>
        </is>
      </c>
      <c r="B9" s="88" t="n">
        <v>700000</v>
      </c>
      <c r="C9" s="89" t="inlineStr">
        <is>
          <t>← Adjust this</t>
        </is>
      </c>
    </row>
    <row r="11" ht="15" customHeight="1" s="62">
      <c r="A11" s="86" t="inlineStr">
        <is>
          <t>SCENARIO 1: FUEL SURCHARGE +20%  |  Which provider absorbs cost increase best?</t>
        </is>
      </c>
    </row>
    <row r="12" ht="23.85" customHeight="1" s="62">
      <c r="A12" s="74" t="inlineStr">
        <is>
          <t>Provider</t>
        </is>
      </c>
      <c r="B12" s="74" t="inlineStr">
        <is>
          <t>Lane</t>
        </is>
      </c>
      <c r="C12" s="74" t="inlineStr">
        <is>
          <t>Base Rate/kg</t>
        </is>
      </c>
      <c r="D12" s="74" t="inlineStr">
        <is>
          <t>Current Fuel %</t>
        </is>
      </c>
      <c r="E12" s="74" t="inlineStr">
        <is>
          <t>New Fuel % (+20pp)</t>
        </is>
      </c>
      <c r="F12" s="74" t="inlineStr">
        <is>
          <t>Current All-In/kg</t>
        </is>
      </c>
      <c r="G12" s="74" t="inlineStr">
        <is>
          <t>New All-In/kg</t>
        </is>
      </c>
      <c r="H12" s="74" t="inlineStr">
        <is>
          <t>Cost Increase/kg</t>
        </is>
      </c>
      <c r="I12" s="74" t="inlineStr">
        <is>
          <t>Annual Impact (€)</t>
        </is>
      </c>
    </row>
    <row r="13" ht="15" customHeight="1" s="62">
      <c r="A13" s="75" t="inlineStr">
        <is>
          <t>DHL Freight</t>
        </is>
      </c>
      <c r="B13" s="75" t="inlineStr">
        <is>
          <t>AMS→Frankfurt</t>
        </is>
      </c>
      <c r="C13" s="92" t="n">
        <v>0.31</v>
      </c>
      <c r="D13" s="93" t="n">
        <v>18</v>
      </c>
      <c r="E13" s="77">
        <f>D13+$B$5</f>
        <v/>
      </c>
      <c r="F13" s="104">
        <f>ROUND(C13*(1+D13/100),4)</f>
        <v/>
      </c>
      <c r="G13" s="104">
        <f>ROUND(C13*(1+E13/100),4)</f>
        <v/>
      </c>
      <c r="H13" s="104">
        <f>ROUND(G13-F13,4)</f>
        <v/>
      </c>
      <c r="I13" s="105">
        <f>ROUND(H13*$B$8,0)</f>
        <v/>
      </c>
    </row>
    <row r="14" ht="15" customHeight="1" s="62">
      <c r="A14" s="80" t="inlineStr">
        <is>
          <t>DHL Freight</t>
        </is>
      </c>
      <c r="B14" s="80" t="inlineStr">
        <is>
          <t>Rotterdam→Paris</t>
        </is>
      </c>
      <c r="C14" s="97" t="n">
        <v>0.35</v>
      </c>
      <c r="D14" s="98" t="n">
        <v>18</v>
      </c>
      <c r="E14" s="82">
        <f>D14+$B$5</f>
        <v/>
      </c>
      <c r="F14" s="106">
        <f>ROUND(C14*(1+D14/100),4)</f>
        <v/>
      </c>
      <c r="G14" s="106">
        <f>ROUND(C14*(1+E14/100),4)</f>
        <v/>
      </c>
      <c r="H14" s="106">
        <f>ROUND(G14-F14,4)</f>
        <v/>
      </c>
      <c r="I14" s="107">
        <f>ROUND(H14*$B$9,0)</f>
        <v/>
      </c>
    </row>
    <row r="15" ht="15" customHeight="1" s="62">
      <c r="A15" s="75" t="inlineStr">
        <is>
          <t>DHL Freight</t>
        </is>
      </c>
      <c r="B15" s="75" t="inlineStr">
        <is>
          <t>Eindhoven→Warsaw</t>
        </is>
      </c>
      <c r="C15" s="92" t="n">
        <v>0.46</v>
      </c>
      <c r="D15" s="93" t="n">
        <v>18</v>
      </c>
      <c r="E15" s="77">
        <f>D15+$B$5</f>
        <v/>
      </c>
      <c r="F15" s="104">
        <f>ROUND(C15*(1+D15/100),4)</f>
        <v/>
      </c>
      <c r="G15" s="104">
        <f>ROUND(C15*(1+E15/100),4)</f>
        <v/>
      </c>
      <c r="H15" s="104">
        <f>ROUND(G15-F15,4)</f>
        <v/>
      </c>
      <c r="I15" s="105">
        <f>ROUND(H15*$B$7,0)</f>
        <v/>
      </c>
    </row>
    <row r="16" ht="15" customHeight="1" s="62">
      <c r="A16" s="80" t="inlineStr">
        <is>
          <t>DB Schenker</t>
        </is>
      </c>
      <c r="B16" s="80" t="inlineStr">
        <is>
          <t>AMS→Frankfurt</t>
        </is>
      </c>
      <c r="C16" s="97" t="n">
        <v>0.29</v>
      </c>
      <c r="D16" s="98" t="n">
        <v>16.5</v>
      </c>
      <c r="E16" s="82">
        <f>D16+$B$5</f>
        <v/>
      </c>
      <c r="F16" s="106">
        <f>ROUND(C16*(1+D16/100),4)</f>
        <v/>
      </c>
      <c r="G16" s="106">
        <f>ROUND(C16*(1+E16/100),4)</f>
        <v/>
      </c>
      <c r="H16" s="106">
        <f>ROUND(G16-F16,4)</f>
        <v/>
      </c>
      <c r="I16" s="107">
        <f>ROUND(H16*$B$8,0)</f>
        <v/>
      </c>
    </row>
    <row r="17" ht="15" customHeight="1" s="62">
      <c r="A17" s="75" t="inlineStr">
        <is>
          <t>DB Schenker</t>
        </is>
      </c>
      <c r="B17" s="75" t="inlineStr">
        <is>
          <t>Rotterdam→Paris</t>
        </is>
      </c>
      <c r="C17" s="92" t="n">
        <v>0.33</v>
      </c>
      <c r="D17" s="93" t="n">
        <v>16.5</v>
      </c>
      <c r="E17" s="77">
        <f>D17+$B$5</f>
        <v/>
      </c>
      <c r="F17" s="104">
        <f>ROUND(C17*(1+D17/100),4)</f>
        <v/>
      </c>
      <c r="G17" s="104">
        <f>ROUND(C17*(1+E17/100),4)</f>
        <v/>
      </c>
      <c r="H17" s="104">
        <f>ROUND(G17-F17,4)</f>
        <v/>
      </c>
      <c r="I17" s="105">
        <f>ROUND(H17*$B$9,0)</f>
        <v/>
      </c>
    </row>
    <row r="18" ht="15" customHeight="1" s="62">
      <c r="A18" s="80" t="inlineStr">
        <is>
          <t>DB Schenker</t>
        </is>
      </c>
      <c r="B18" s="80" t="inlineStr">
        <is>
          <t>Eindhoven→Warsaw</t>
        </is>
      </c>
      <c r="C18" s="97" t="n">
        <v>0.4</v>
      </c>
      <c r="D18" s="98" t="n">
        <v>16.5</v>
      </c>
      <c r="E18" s="82">
        <f>D18+$B$5</f>
        <v/>
      </c>
      <c r="F18" s="106">
        <f>ROUND(C18*(1+D18/100),4)</f>
        <v/>
      </c>
      <c r="G18" s="106">
        <f>ROUND(C18*(1+E18/100),4)</f>
        <v/>
      </c>
      <c r="H18" s="106">
        <f>ROUND(G18-F18,4)</f>
        <v/>
      </c>
      <c r="I18" s="107">
        <f>ROUND(H18*$B$7,0)</f>
        <v/>
      </c>
    </row>
    <row r="19" ht="15" customHeight="1" s="62">
      <c r="A19" s="75" t="inlineStr">
        <is>
          <t>Kuehne+Nagel</t>
        </is>
      </c>
      <c r="B19" s="75" t="inlineStr">
        <is>
          <t>AMS→Frankfurt</t>
        </is>
      </c>
      <c r="C19" s="92" t="n">
        <v>0.3</v>
      </c>
      <c r="D19" s="93" t="n">
        <v>17</v>
      </c>
      <c r="E19" s="77">
        <f>D19+$B$5</f>
        <v/>
      </c>
      <c r="F19" s="104">
        <f>ROUND(C19*(1+D19/100),4)</f>
        <v/>
      </c>
      <c r="G19" s="104">
        <f>ROUND(C19*(1+E19/100),4)</f>
        <v/>
      </c>
      <c r="H19" s="104">
        <f>ROUND(G19-F19,4)</f>
        <v/>
      </c>
      <c r="I19" s="105">
        <f>ROUND(H19*$B$8,0)</f>
        <v/>
      </c>
    </row>
    <row r="20" ht="15" customHeight="1" s="62">
      <c r="A20" s="80" t="inlineStr">
        <is>
          <t>Kuehne+Nagel</t>
        </is>
      </c>
      <c r="B20" s="80" t="inlineStr">
        <is>
          <t>Rotterdam→Paris</t>
        </is>
      </c>
      <c r="C20" s="97" t="n">
        <v>0.32</v>
      </c>
      <c r="D20" s="98" t="n">
        <v>17</v>
      </c>
      <c r="E20" s="82">
        <f>D20+$B$5</f>
        <v/>
      </c>
      <c r="F20" s="106">
        <f>ROUND(C20*(1+D20/100),4)</f>
        <v/>
      </c>
      <c r="G20" s="106">
        <f>ROUND(C20*(1+E20/100),4)</f>
        <v/>
      </c>
      <c r="H20" s="106">
        <f>ROUND(G20-F20,4)</f>
        <v/>
      </c>
      <c r="I20" s="107">
        <f>ROUND(H20*$B$9,0)</f>
        <v/>
      </c>
    </row>
    <row r="21" ht="15" customHeight="1" s="62">
      <c r="A21" s="75" t="inlineStr">
        <is>
          <t>Kuehne+Nagel</t>
        </is>
      </c>
      <c r="B21" s="75" t="inlineStr">
        <is>
          <t>Eindhoven→Warsaw</t>
        </is>
      </c>
      <c r="C21" s="92" t="n">
        <v>0.43</v>
      </c>
      <c r="D21" s="93" t="n">
        <v>17</v>
      </c>
      <c r="E21" s="77">
        <f>D21+$B$5</f>
        <v/>
      </c>
      <c r="F21" s="104">
        <f>ROUND(C21*(1+D21/100),4)</f>
        <v/>
      </c>
      <c r="G21" s="104">
        <f>ROUND(C21*(1+E21/100),4)</f>
        <v/>
      </c>
      <c r="H21" s="104">
        <f>ROUND(G21-F21,4)</f>
        <v/>
      </c>
      <c r="I21" s="105">
        <f>ROUND(H21*$B$7,0)</f>
        <v/>
      </c>
    </row>
    <row r="23" ht="15" customHeight="1" s="62">
      <c r="A23" s="86" t="inlineStr">
        <is>
          <t>SCENARIO 2: VOLUME +15%  |  Does volume discount change the preferred provider?</t>
        </is>
      </c>
    </row>
    <row r="24" ht="23.85" customHeight="1" s="62">
      <c r="A24" s="74" t="inlineStr">
        <is>
          <t>Provider</t>
        </is>
      </c>
      <c r="B24" s="74" t="inlineStr">
        <is>
          <t>Lane</t>
        </is>
      </c>
      <c r="C24" s="74" t="inlineStr">
        <is>
          <t>Current Cost/kg</t>
        </is>
      </c>
      <c r="D24" s="74" t="inlineStr">
        <is>
          <t>Vol Discount %</t>
        </is>
      </c>
      <c r="E24" s="74" t="inlineStr">
        <is>
          <t>New Volume (kg)</t>
        </is>
      </c>
      <c r="F24" s="74" t="inlineStr">
        <is>
          <t>Cost at New Volume/kg</t>
        </is>
      </c>
      <c r="G24" s="74" t="inlineStr">
        <is>
          <t>Current Annual Spend</t>
        </is>
      </c>
      <c r="H24" s="74" t="inlineStr">
        <is>
          <t>New Annual Spend</t>
        </is>
      </c>
      <c r="I24" s="74" t="inlineStr">
        <is>
          <t>Saving vs No-Discount</t>
        </is>
      </c>
    </row>
    <row r="25" ht="15" customHeight="1" s="62">
      <c r="A25" s="75" t="inlineStr">
        <is>
          <t>DHL Freight</t>
        </is>
      </c>
      <c r="B25" s="75" t="inlineStr">
        <is>
          <t>AMS→Frankfurt</t>
        </is>
      </c>
      <c r="C25" s="92" t="n">
        <v>0.3662</v>
      </c>
      <c r="D25" s="93" t="n">
        <v>5</v>
      </c>
      <c r="E25" s="108">
        <f>ROUND($B$8*(1+$B$6/100),0)</f>
        <v/>
      </c>
      <c r="F25" s="104">
        <f>ROUND(C25*(1-D25/100),4)</f>
        <v/>
      </c>
      <c r="G25" s="105">
        <f>ROUND(C25*$B$8,0)</f>
        <v/>
      </c>
      <c r="H25" s="105">
        <f>ROUND(F25*E25,0)</f>
        <v/>
      </c>
      <c r="I25" s="105">
        <f>ROUND(G25-H25,0)</f>
        <v/>
      </c>
    </row>
    <row r="26" ht="15" customHeight="1" s="62">
      <c r="A26" s="80" t="inlineStr">
        <is>
          <t>DB Schenker</t>
        </is>
      </c>
      <c r="B26" s="80" t="inlineStr">
        <is>
          <t>AMS→Frankfurt</t>
        </is>
      </c>
      <c r="C26" s="97" t="n">
        <v>0.338</v>
      </c>
      <c r="D26" s="98" t="n">
        <v>8</v>
      </c>
      <c r="E26" s="109">
        <f>ROUND($B$8*(1+$B$6/100),0)</f>
        <v/>
      </c>
      <c r="F26" s="106">
        <f>ROUND(C26*(1-D26/100),4)</f>
        <v/>
      </c>
      <c r="G26" s="107">
        <f>ROUND(C26*$B$8,0)</f>
        <v/>
      </c>
      <c r="H26" s="107">
        <f>ROUND(F26*E26,0)</f>
        <v/>
      </c>
      <c r="I26" s="107">
        <f>ROUND(G26-H26,0)</f>
        <v/>
      </c>
    </row>
    <row r="27" ht="15" customHeight="1" s="62">
      <c r="A27" s="75" t="inlineStr">
        <is>
          <t>Kuehne+Nagel</t>
        </is>
      </c>
      <c r="B27" s="75" t="inlineStr">
        <is>
          <t>AMS→Frankfurt</t>
        </is>
      </c>
      <c r="C27" s="92" t="n">
        <v>0.351</v>
      </c>
      <c r="D27" s="93" t="n">
        <v>9</v>
      </c>
      <c r="E27" s="108">
        <f>ROUND($B$8*(1+$B$6/100),0)</f>
        <v/>
      </c>
      <c r="F27" s="104">
        <f>ROUND(C27*(1-D27/100),4)</f>
        <v/>
      </c>
      <c r="G27" s="105">
        <f>ROUND(C27*$B$8,0)</f>
        <v/>
      </c>
      <c r="H27" s="105">
        <f>ROUND(F27*E27,0)</f>
        <v/>
      </c>
      <c r="I27" s="105">
        <f>ROUND(G27-H27,0)</f>
        <v/>
      </c>
    </row>
    <row r="28" ht="15" customHeight="1" s="62">
      <c r="A28" s="80" t="inlineStr">
        <is>
          <t>DHL Freight</t>
        </is>
      </c>
      <c r="B28" s="80" t="inlineStr">
        <is>
          <t>Eindhoven→Warsaw</t>
        </is>
      </c>
      <c r="C28" s="97" t="n">
        <v>0.5427999999999999</v>
      </c>
      <c r="D28" s="98" t="n">
        <v>5</v>
      </c>
      <c r="E28" s="109">
        <f>ROUND($B$7*(1+$B$6/100),0)</f>
        <v/>
      </c>
      <c r="F28" s="106">
        <f>ROUND(C28*(1-D28/100),4)</f>
        <v/>
      </c>
      <c r="G28" s="107">
        <f>ROUND(C28*$B$7,0)</f>
        <v/>
      </c>
      <c r="H28" s="107">
        <f>ROUND(F28*E28,0)</f>
        <v/>
      </c>
      <c r="I28" s="107">
        <f>ROUND(G28-H28,0)</f>
        <v/>
      </c>
    </row>
    <row r="29" ht="15" customHeight="1" s="62">
      <c r="A29" s="75" t="inlineStr">
        <is>
          <t>DB Schenker</t>
        </is>
      </c>
      <c r="B29" s="75" t="inlineStr">
        <is>
          <t>Eindhoven→Warsaw</t>
        </is>
      </c>
      <c r="C29" s="92" t="n">
        <v>0.4661</v>
      </c>
      <c r="D29" s="93" t="n">
        <v>12</v>
      </c>
      <c r="E29" s="108">
        <f>ROUND($B$7*(1+$B$6/100),0)</f>
        <v/>
      </c>
      <c r="F29" s="104">
        <f>ROUND(C29*(1-D29/100),4)</f>
        <v/>
      </c>
      <c r="G29" s="105">
        <f>ROUND(C29*$B$7,0)</f>
        <v/>
      </c>
      <c r="H29" s="105">
        <f>ROUND(F29*E29,0)</f>
        <v/>
      </c>
      <c r="I29" s="105">
        <f>ROUND(G29-H29,0)</f>
        <v/>
      </c>
    </row>
    <row r="30" ht="15" customHeight="1" s="62">
      <c r="A30" s="80" t="inlineStr">
        <is>
          <t>Kuehne+Nagel</t>
        </is>
      </c>
      <c r="B30" s="80" t="inlineStr">
        <is>
          <t>Eindhoven→Warsaw</t>
        </is>
      </c>
      <c r="C30" s="97" t="n">
        <v>0.5031</v>
      </c>
      <c r="D30" s="98" t="n">
        <v>5.5</v>
      </c>
      <c r="E30" s="109">
        <f>ROUND($B$7*(1+$B$6/100),0)</f>
        <v/>
      </c>
      <c r="F30" s="106">
        <f>ROUND(C30*(1-D30/100),4)</f>
        <v/>
      </c>
      <c r="G30" s="107">
        <f>ROUND(C30*$B$7,0)</f>
        <v/>
      </c>
      <c r="H30" s="107">
        <f>ROUND(F30*E30,0)</f>
        <v/>
      </c>
      <c r="I30" s="107">
        <f>ROUND(G30-H30,0)</f>
        <v/>
      </c>
    </row>
  </sheetData>
  <mergeCells count="4">
    <mergeCell ref="A1:I1"/>
    <mergeCell ref="A23:I23"/>
    <mergeCell ref="A3:D3"/>
    <mergeCell ref="A11:I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E7B34"/>
    <outlinePr summaryBelow="1" summaryRight="1"/>
    <pageSetUpPr fitToPage="0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61" min="1" max="1"/>
    <col width="16" customWidth="1" style="61" min="2" max="2"/>
    <col width="15" customWidth="1" style="61" min="3" max="3"/>
    <col width="16" customWidth="1" style="61" min="4" max="4"/>
    <col width="15" customWidth="1" style="61" min="5" max="5"/>
    <col width="12" customWidth="1" style="61" min="6" max="6"/>
    <col width="20" customWidth="1" style="61" min="7" max="8"/>
  </cols>
  <sheetData>
    <row r="1" ht="31.5" customHeight="1" s="62">
      <c r="A1" s="63" t="inlineStr">
        <is>
          <t>ANNUAL SAVINGS CALCULATOR  |  Switching to Optimal Provider per Lane</t>
        </is>
      </c>
    </row>
    <row r="2" ht="19.5" customHeight="1" s="62">
      <c r="A2" s="110" t="inlineStr">
        <is>
          <t>The "€112,920 Annual Saving" — Headline number for your portfolio narrative</t>
        </is>
      </c>
    </row>
    <row r="4" ht="15" customHeight="1" s="62">
      <c r="A4" s="111" t="inlineStr">
        <is>
          <t>ANNUAL VOLUME ASSUMPTIONS</t>
        </is>
      </c>
    </row>
    <row r="5" ht="15" customHeight="1" s="62">
      <c r="A5" s="61" t="inlineStr">
        <is>
          <t>AMS → Frankfurt (kg/year)</t>
        </is>
      </c>
      <c r="B5" s="112" t="n">
        <v>900000</v>
      </c>
    </row>
    <row r="6" ht="15" customHeight="1" s="62">
      <c r="A6" s="61" t="inlineStr">
        <is>
          <t>Rotterdam → Paris (kg/year)</t>
        </is>
      </c>
      <c r="B6" s="112" t="n">
        <v>700000</v>
      </c>
    </row>
    <row r="7" ht="15" customHeight="1" s="62">
      <c r="A7" s="61" t="inlineStr">
        <is>
          <t>Eindhoven → Warsaw (kg/year)</t>
        </is>
      </c>
      <c r="B7" s="112" t="n">
        <v>800000</v>
      </c>
    </row>
    <row r="10" ht="15" customHeight="1" s="62">
      <c r="A10" s="74" t="inlineStr">
        <is>
          <t>Lane</t>
        </is>
      </c>
      <c r="B10" s="74" t="inlineStr">
        <is>
          <t>Current Provider</t>
        </is>
      </c>
      <c r="C10" s="74" t="inlineStr">
        <is>
          <t>Current Rate/kg</t>
        </is>
      </c>
      <c r="D10" s="74" t="inlineStr">
        <is>
          <t>Optimal Provider</t>
        </is>
      </c>
      <c r="E10" s="74" t="inlineStr">
        <is>
          <t>Optimal Rate/kg</t>
        </is>
      </c>
      <c r="F10" s="74" t="inlineStr">
        <is>
          <t>Saving/kg</t>
        </is>
      </c>
      <c r="G10" s="74" t="inlineStr">
        <is>
          <t>Annual Volume (kg)</t>
        </is>
      </c>
      <c r="H10" s="74" t="inlineStr">
        <is>
          <t>ANNUAL SAVING (€)</t>
        </is>
      </c>
    </row>
    <row r="11" ht="15" customHeight="1" s="62">
      <c r="A11" s="91" t="inlineStr">
        <is>
          <t>AMS → Frankfurt</t>
        </is>
      </c>
      <c r="B11" s="75" t="inlineStr">
        <is>
          <t>DHL Freight</t>
        </is>
      </c>
      <c r="C11" s="92" t="n">
        <v>0.3662</v>
      </c>
      <c r="D11" s="113" t="inlineStr">
        <is>
          <t>DB Schenker</t>
        </is>
      </c>
      <c r="E11" s="92" t="n">
        <v>0.338</v>
      </c>
      <c r="F11" s="114">
        <f>ROUND(C11-E11,4)</f>
        <v/>
      </c>
      <c r="G11" s="115">
        <f>$B$5</f>
        <v/>
      </c>
      <c r="H11" s="116">
        <f>ROUND(F11*G11,0)</f>
        <v/>
      </c>
    </row>
    <row r="12" ht="15" customHeight="1" s="62">
      <c r="A12" s="96" t="inlineStr">
        <is>
          <t>Rotterdam → Paris</t>
        </is>
      </c>
      <c r="B12" s="80" t="inlineStr">
        <is>
          <t>DHL Freight</t>
        </is>
      </c>
      <c r="C12" s="97" t="n">
        <v>0.413</v>
      </c>
      <c r="D12" s="117" t="inlineStr">
        <is>
          <t>Kuehne+Nagel</t>
        </is>
      </c>
      <c r="E12" s="97" t="n">
        <v>0.3756</v>
      </c>
      <c r="F12" s="118">
        <f>ROUND(C12-E12,4)</f>
        <v/>
      </c>
      <c r="G12" s="119">
        <f>$B$6</f>
        <v/>
      </c>
      <c r="H12" s="120">
        <f>ROUND(F12*G12,0)</f>
        <v/>
      </c>
    </row>
    <row r="13" ht="15" customHeight="1" s="62">
      <c r="A13" s="91" t="inlineStr">
        <is>
          <t>Eindhoven → Warsaw</t>
        </is>
      </c>
      <c r="B13" s="75" t="inlineStr">
        <is>
          <t>DHL Freight</t>
        </is>
      </c>
      <c r="C13" s="92" t="n">
        <v>0.5427999999999999</v>
      </c>
      <c r="D13" s="113" t="inlineStr">
        <is>
          <t>DB Schenker</t>
        </is>
      </c>
      <c r="E13" s="92" t="n">
        <v>0.4661</v>
      </c>
      <c r="F13" s="114">
        <f>ROUND(C13-E13,4)</f>
        <v/>
      </c>
      <c r="G13" s="115">
        <f>$B$7</f>
        <v/>
      </c>
      <c r="H13" s="116">
        <f>ROUND(F13*G13,0)</f>
        <v/>
      </c>
    </row>
    <row r="14" ht="25.5" customHeight="1" s="62">
      <c r="G14" s="121" t="inlineStr">
        <is>
          <t>TOTAL ANNUAL SAVING:</t>
        </is>
      </c>
      <c r="H14" s="122">
        <f>SUM(H11:H13)</f>
        <v/>
      </c>
    </row>
    <row r="16" ht="15" customHeight="1" s="62">
      <c r="A16" s="101" t="inlineStr">
        <is>
          <t>Methodology: Savings calculated as (current provider rate - optimal provider rate) × annual volume.</t>
        </is>
      </c>
    </row>
    <row r="17" ht="15" customHeight="1" s="62">
      <c r="A17" s="101" t="inlineStr">
        <is>
          <t>Rates sourced from Freightos benchmarks (2024) and direct quote simulations. All rates include fuel surcharge.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2026-04-10T22:56:37Z</dcterms:created>
  <dcterms:modified xmlns:dcterms="http://purl.org/dc/terms/" xmlns:xsi="http://www.w3.org/2001/XMLSchema-instance" xsi:type="dcterms:W3CDTF">2026-07-10T01:58:48Z</dcterms:modified>
  <cp:revision>0</cp:revision>
</cp:coreProperties>
</file>